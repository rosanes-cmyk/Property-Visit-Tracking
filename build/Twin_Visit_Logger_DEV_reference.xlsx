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erry Opportunity Board" sheetId="2" state="visible" r:id="rId2"/>
    <sheet name="Data" sheetId="3" state="visible" r:id="rId3"/>
    <sheet name="Dropdowns" sheetId="4" state="visible" r:id="rId4"/>
    <sheet name="Exception Queue" sheetId="5" state="visible" r:id="rId5"/>
    <sheet name="Migra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2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A64D79"/>
      </patternFill>
    </fill>
    <fill>
      <patternFill patternType="solid">
        <fgColor rgb="00674EA7"/>
      </patternFill>
    </fill>
    <fill>
      <patternFill patternType="solid">
        <fgColor rgb="007F7F7F"/>
      </patternFill>
    </fill>
    <fill>
      <patternFill patternType="solid">
        <fgColor rgb="00595959"/>
      </patternFill>
    </fill>
    <fill>
      <patternFill patternType="solid">
        <fgColor rgb="00DDEBF7"/>
      </patternFill>
    </fill>
    <fill>
      <patternFill patternType="solid">
        <fgColor rgb="0099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6" borderId="0" pivotButton="0" quotePrefix="0" xfId="0"/>
    <xf numFmtId="0" fontId="0" fillId="6" borderId="0" pivotButton="0" quotePrefix="0" xfId="0"/>
    <xf numFmtId="0" fontId="1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6" fillId="10" borderId="0" pivotButton="0" quotePrefix="0" xfId="0"/>
    <xf numFmtId="0" fontId="11" fillId="0" borderId="0" pivotButton="0" quotePrefix="0" xfId="0"/>
    <xf numFmtId="0" fontId="6" fillId="12" borderId="0" pivotButton="0" quotePrefix="0" xfId="0"/>
    <xf numFmtId="0" fontId="1" fillId="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color rgb="00990000"/>
      </font>
      <fill>
        <patternFill patternType="solid">
          <fgColor rgb="00F4CCCC"/>
        </patternFill>
      </fill>
    </dxf>
    <dxf>
      <fill>
        <patternFill patternType="solid">
          <fgColor rgb="00F4CCCC"/>
        </patternFill>
      </fill>
    </dxf>
    <dxf>
      <font>
        <color rgb="00B45F06"/>
      </font>
      <fill>
        <patternFill patternType="solid">
          <fgColor rgb="00FCE5CD"/>
        </patternFill>
      </fill>
    </dxf>
    <dxf>
      <fill>
        <patternFill patternType="solid">
          <fgColor rgb="00FCE5CD"/>
        </patternFill>
      </fill>
    </dxf>
    <dxf>
      <font>
        <color rgb="0038761D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761D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Twin Visit Logger — Development Copy (Reference Workbook)</t>
        </is>
      </c>
    </row>
    <row r="2">
      <c r="A2" s="2" t="inlineStr"/>
    </row>
    <row r="3">
      <c r="A3" s="2" t="inlineStr">
        <is>
          <t>This reference workbook demonstrates the Phase 2 upgraded structure.</t>
        </is>
      </c>
    </row>
    <row r="4">
      <c r="A4" s="2" t="inlineStr">
        <is>
          <t>The LIVE system is the Google Sheets dev copy; run apps-script/Setup.gs there to build it natively.</t>
        </is>
      </c>
    </row>
    <row r="5">
      <c r="A5" s="2" t="inlineStr"/>
    </row>
    <row r="6">
      <c r="A6" s="3" t="inlineStr">
        <is>
          <t>Sheets:</t>
        </is>
      </c>
    </row>
    <row r="7">
      <c r="A7" s="2" t="inlineStr">
        <is>
          <t xml:space="preserve">  • Data — main pipeline (one row per property). Data starts on row 2.</t>
        </is>
      </c>
    </row>
    <row r="8">
      <c r="A8" s="2" t="inlineStr">
        <is>
          <t xml:space="preserve">  • Cherry Opportunity Board — the 30-second action view (10 sections).</t>
        </is>
      </c>
    </row>
    <row r="9">
      <c r="A9" s="2" t="inlineStr">
        <is>
          <t xml:space="preserve">  • Dropdowns — reference lists behind every data-validation field.</t>
        </is>
      </c>
    </row>
    <row r="10">
      <c r="A10" s="2" t="inlineStr">
        <is>
          <t xml:space="preserve">  • Exception Queue — records needing review (incomplete / rule failures / duplicates).</t>
        </is>
      </c>
    </row>
    <row r="11">
      <c r="A11" s="2" t="inlineStr">
        <is>
          <t xml:space="preserve">  • Migration Log — how legacy fields map to the new structure.</t>
        </is>
      </c>
    </row>
    <row r="12">
      <c r="A12" s="2" t="inlineStr"/>
    </row>
    <row r="13">
      <c r="A13" s="2" t="inlineStr">
        <is>
          <t>Pilot + test records: rows 2–20 on Data.</t>
        </is>
      </c>
    </row>
    <row r="14">
      <c r="A14" s="4" t="inlineStr">
        <is>
          <t>Original workbook was NOT modified. This is a separate development copy.</t>
        </is>
      </c>
    </row>
    <row r="15">
      <c r="A15" s="2" t="inlineStr"/>
    </row>
    <row r="16">
      <c r="A16" s="2" t="inlineStr">
        <is>
          <t>Color key:  Red = error/overdue   Orange = warning/incomplete/stalled   Green = signed/complete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30" customWidth="1" min="10" max="10"/>
  </cols>
  <sheetData>
    <row r="1">
      <c r="A1" s="5" t="inlineStr">
        <is>
          <t>CHERRY OPPORTUNITY BOARD — actionable opportunities only</t>
        </is>
      </c>
    </row>
    <row r="2">
      <c r="A2" s="6" t="inlineStr">
        <is>
          <t>Updated live from Data. Sections sorted by contract-likelihood, overdue, nearest due date, recent engagement.</t>
        </is>
      </c>
    </row>
    <row r="4">
      <c r="A4" s="7" t="inlineStr">
        <is>
          <t>1. Contracts Possible This Week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inlineStr">
        <is>
          <t>Address</t>
        </is>
      </c>
      <c r="B5" s="9" t="inlineStr">
        <is>
          <t>Seller</t>
        </is>
      </c>
      <c r="C5" s="9" t="inlineStr">
        <is>
          <t>Stage</t>
        </is>
      </c>
      <c r="D5" s="9" t="inlineStr">
        <is>
          <t>Next Action</t>
        </is>
      </c>
      <c r="E5" s="9" t="inlineStr">
        <is>
          <t>Owner</t>
        </is>
      </c>
      <c r="F5" s="9" t="inlineStr">
        <is>
          <t>Due</t>
        </is>
      </c>
      <c r="G5" s="9" t="inlineStr">
        <is>
          <t>Days Overdue</t>
        </is>
      </c>
      <c r="H5" s="9" t="inlineStr">
        <is>
          <t>Blocker</t>
        </is>
      </c>
      <c r="I5" s="9" t="inlineStr">
        <is>
          <t>Last Contact Result</t>
        </is>
      </c>
      <c r="J5" s="9" t="inlineStr">
        <is>
          <t>REI Link</t>
        </is>
      </c>
    </row>
    <row r="6">
      <c r="A6" s="2">
        <f>IFERROR(QUERY(Data!A2:BZ1000,"select B,D,AQ,AF,AH,AG,AK,AI,AE,H where B is not null and (AQ='Verbal Agreement' or AQ='Contract Sent' or AQ='Active Negotiation') order by AY desc, AG limit 50",0),"— none —")</f>
        <v/>
      </c>
    </row>
    <row r="14">
      <c r="A14" s="7" t="inlineStr">
        <is>
          <t>2. Visited — No Offer Decision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inlineStr">
        <is>
          <t>Address</t>
        </is>
      </c>
      <c r="B15" s="9" t="inlineStr">
        <is>
          <t>Seller</t>
        </is>
      </c>
      <c r="C15" s="9" t="inlineStr">
        <is>
          <t>Stage</t>
        </is>
      </c>
      <c r="D15" s="9" t="inlineStr">
        <is>
          <t>Next Action</t>
        </is>
      </c>
      <c r="E15" s="9" t="inlineStr">
        <is>
          <t>Owner</t>
        </is>
      </c>
      <c r="F15" s="9" t="inlineStr">
        <is>
          <t>Due</t>
        </is>
      </c>
      <c r="G15" s="9" t="inlineStr">
        <is>
          <t>Days Overdue</t>
        </is>
      </c>
      <c r="H15" s="9" t="inlineStr">
        <is>
          <t>Blocker</t>
        </is>
      </c>
      <c r="I15" s="9" t="inlineStr">
        <is>
          <t>Last Contact Result</t>
        </is>
      </c>
      <c r="J15" s="9" t="inlineStr">
        <is>
          <t>REI Link</t>
        </is>
      </c>
    </row>
    <row r="16">
      <c r="A16" s="2">
        <f>IFERROR(QUERY(Data!A2:BZ1000,"select B,D,AQ,AF,AH,AG,AK,AI,AE,H where B is not null and AQ='Visit Completed — Needs Review' order by AK desc, AG limit 50",0),"— none —")</f>
        <v/>
      </c>
    </row>
    <row r="24">
      <c r="A24" s="7" t="inlineStr">
        <is>
          <t>3. Offer Sent — Follow-Up Due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Address</t>
        </is>
      </c>
      <c r="B25" s="9" t="inlineStr">
        <is>
          <t>Seller</t>
        </is>
      </c>
      <c r="C25" s="9" t="inlineStr">
        <is>
          <t>Stage</t>
        </is>
      </c>
      <c r="D25" s="9" t="inlineStr">
        <is>
          <t>Next Action</t>
        </is>
      </c>
      <c r="E25" s="9" t="inlineStr">
        <is>
          <t>Owner</t>
        </is>
      </c>
      <c r="F25" s="9" t="inlineStr">
        <is>
          <t>Due</t>
        </is>
      </c>
      <c r="G25" s="9" t="inlineStr">
        <is>
          <t>Days Overdue</t>
        </is>
      </c>
      <c r="H25" s="9" t="inlineStr">
        <is>
          <t>Blocker</t>
        </is>
      </c>
      <c r="I25" s="9" t="inlineStr">
        <is>
          <t>Last Contact Result</t>
        </is>
      </c>
      <c r="J25" s="9" t="inlineStr">
        <is>
          <t>REI Link</t>
        </is>
      </c>
    </row>
    <row r="26">
      <c r="A26" s="2">
        <f>IFERROR(QUERY(Data!A2:BZ1000,"select B,D,AQ,AF,AH,AG,AK,AI,AE,H where B is not null and AQ='Offer Sent' order by AK desc, AG limit 50",0),"— none —")</f>
        <v/>
      </c>
    </row>
    <row r="34">
      <c r="A34" s="7" t="inlineStr">
        <is>
          <t>4. Stalled Deals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9" t="inlineStr">
        <is>
          <t>Address</t>
        </is>
      </c>
      <c r="B35" s="9" t="inlineStr">
        <is>
          <t>Seller</t>
        </is>
      </c>
      <c r="C35" s="9" t="inlineStr">
        <is>
          <t>Stage</t>
        </is>
      </c>
      <c r="D35" s="9" t="inlineStr">
        <is>
          <t>Next Action</t>
        </is>
      </c>
      <c r="E35" s="9" t="inlineStr">
        <is>
          <t>Owner</t>
        </is>
      </c>
      <c r="F35" s="9" t="inlineStr">
        <is>
          <t>Due</t>
        </is>
      </c>
      <c r="G35" s="9" t="inlineStr">
        <is>
          <t>Days Overdue</t>
        </is>
      </c>
      <c r="H35" s="9" t="inlineStr">
        <is>
          <t>Blocker</t>
        </is>
      </c>
      <c r="I35" s="9" t="inlineStr">
        <is>
          <t>Last Contact Result</t>
        </is>
      </c>
      <c r="J35" s="9" t="inlineStr">
        <is>
          <t>REI Link</t>
        </is>
      </c>
    </row>
    <row r="36">
      <c r="A36" s="2">
        <f>IFERROR(QUERY(Data!A2:BZ1000,"select B,D,AQ,AF,AH,AG,AK,AI,AE,H where B is not null and AL='Yes' order by AK desc, AY desc limit 50",0),"— none —")</f>
        <v/>
      </c>
    </row>
    <row r="44">
      <c r="A44" s="7" t="inlineStr">
        <is>
          <t>5. Overdue Tasks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9" t="inlineStr">
        <is>
          <t>Address</t>
        </is>
      </c>
      <c r="B45" s="9" t="inlineStr">
        <is>
          <t>Seller</t>
        </is>
      </c>
      <c r="C45" s="9" t="inlineStr">
        <is>
          <t>Stage</t>
        </is>
      </c>
      <c r="D45" s="9" t="inlineStr">
        <is>
          <t>Next Action</t>
        </is>
      </c>
      <c r="E45" s="9" t="inlineStr">
        <is>
          <t>Owner</t>
        </is>
      </c>
      <c r="F45" s="9" t="inlineStr">
        <is>
          <t>Due</t>
        </is>
      </c>
      <c r="G45" s="9" t="inlineStr">
        <is>
          <t>Days Overdue</t>
        </is>
      </c>
      <c r="H45" s="9" t="inlineStr">
        <is>
          <t>Blocker</t>
        </is>
      </c>
      <c r="I45" s="9" t="inlineStr">
        <is>
          <t>Last Contact Result</t>
        </is>
      </c>
      <c r="J45" s="9" t="inlineStr">
        <is>
          <t>REI Link</t>
        </is>
      </c>
    </row>
    <row r="46">
      <c r="A46" s="2">
        <f>IFERROR(QUERY(Data!A2:BZ1000,"select B,D,AQ,AF,AH,AG,AK,AI,AE,H where B is not null and AK&gt;0 order by AK desc limit 50",0),"— none —")</f>
        <v/>
      </c>
    </row>
    <row r="54">
      <c r="A54" s="7" t="inlineStr">
        <is>
          <t>6. Negotiation Decisions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9" t="inlineStr">
        <is>
          <t>Address</t>
        </is>
      </c>
      <c r="B55" s="9" t="inlineStr">
        <is>
          <t>Seller</t>
        </is>
      </c>
      <c r="C55" s="9" t="inlineStr">
        <is>
          <t>Stage</t>
        </is>
      </c>
      <c r="D55" s="9" t="inlineStr">
        <is>
          <t>Next Action</t>
        </is>
      </c>
      <c r="E55" s="9" t="inlineStr">
        <is>
          <t>Owner</t>
        </is>
      </c>
      <c r="F55" s="9" t="inlineStr">
        <is>
          <t>Due</t>
        </is>
      </c>
      <c r="G55" s="9" t="inlineStr">
        <is>
          <t>Days Overdue</t>
        </is>
      </c>
      <c r="H55" s="9" t="inlineStr">
        <is>
          <t>Blocker</t>
        </is>
      </c>
      <c r="I55" s="9" t="inlineStr">
        <is>
          <t>Last Contact Result</t>
        </is>
      </c>
      <c r="J55" s="9" t="inlineStr">
        <is>
          <t>REI Link</t>
        </is>
      </c>
    </row>
    <row r="56">
      <c r="A56" s="2">
        <f>IFERROR(QUERY(Data!A2:BZ1000,"select B,D,AQ,AF,AH,AG,AK,AI,AE,H where B is not null and AQ='Active Negotiation' order by AY desc, AG limit 50",0),"— none —")</f>
        <v/>
      </c>
    </row>
    <row r="64">
      <c r="A64" s="7" t="inlineStr">
        <is>
          <t>7. Contract Handoffs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Address</t>
        </is>
      </c>
      <c r="B65" s="9" t="inlineStr">
        <is>
          <t>Seller</t>
        </is>
      </c>
      <c r="C65" s="9" t="inlineStr">
        <is>
          <t>Stage</t>
        </is>
      </c>
      <c r="D65" s="9" t="inlineStr">
        <is>
          <t>Next Action</t>
        </is>
      </c>
      <c r="E65" s="9" t="inlineStr">
        <is>
          <t>Owner</t>
        </is>
      </c>
      <c r="F65" s="9" t="inlineStr">
        <is>
          <t>Due</t>
        </is>
      </c>
      <c r="G65" s="9" t="inlineStr">
        <is>
          <t>Days Overdue</t>
        </is>
      </c>
      <c r="H65" s="9" t="inlineStr">
        <is>
          <t>Blocker</t>
        </is>
      </c>
      <c r="I65" s="9" t="inlineStr">
        <is>
          <t>Last Contact Result</t>
        </is>
      </c>
      <c r="J65" s="9" t="inlineStr">
        <is>
          <t>REI Link</t>
        </is>
      </c>
    </row>
    <row r="66">
      <c r="A66" s="2">
        <f>IFERROR(QUERY(Data!A2:BZ1000,"select B,D,AQ,AF,AH,AG,AK,AI,AE,H where B is not null and (AQ='Contract Signed' and AV&lt;&gt;'JM Confirmed') order by AG limit 50",0),"— none —")</f>
        <v/>
      </c>
    </row>
    <row r="74">
      <c r="A74" s="7" t="inlineStr">
        <is>
          <t>8. Gift Review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9" t="inlineStr">
        <is>
          <t>Address</t>
        </is>
      </c>
      <c r="B75" s="9" t="inlineStr">
        <is>
          <t>Seller</t>
        </is>
      </c>
      <c r="C75" s="9" t="inlineStr">
        <is>
          <t>Stage</t>
        </is>
      </c>
      <c r="D75" s="9" t="inlineStr">
        <is>
          <t>Next Action</t>
        </is>
      </c>
      <c r="E75" s="9" t="inlineStr">
        <is>
          <t>Owner</t>
        </is>
      </c>
      <c r="F75" s="9" t="inlineStr">
        <is>
          <t>Due</t>
        </is>
      </c>
      <c r="G75" s="9" t="inlineStr">
        <is>
          <t>Days Overdue</t>
        </is>
      </c>
      <c r="H75" s="9" t="inlineStr">
        <is>
          <t>Blocker</t>
        </is>
      </c>
      <c r="I75" s="9" t="inlineStr">
        <is>
          <t>Last Contact Result</t>
        </is>
      </c>
      <c r="J75" s="9" t="inlineStr">
        <is>
          <t>REI Link</t>
        </is>
      </c>
    </row>
    <row r="76">
      <c r="A76" s="2">
        <f>IFERROR(QUERY(Data!A2:BZ1000,"select B,D,AQ,AF,AH,AG,AK,AI,AE,H where B is not null and AM='Recommended' order by AG limit 50",0),"— none —")</f>
        <v/>
      </c>
    </row>
    <row r="84">
      <c r="A84" s="7" t="inlineStr">
        <is>
          <t>9. Revival Opportunities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9" t="inlineStr">
        <is>
          <t>Address</t>
        </is>
      </c>
      <c r="B85" s="9" t="inlineStr">
        <is>
          <t>Seller</t>
        </is>
      </c>
      <c r="C85" s="9" t="inlineStr">
        <is>
          <t>Stage</t>
        </is>
      </c>
      <c r="D85" s="9" t="inlineStr">
        <is>
          <t>Next Action</t>
        </is>
      </c>
      <c r="E85" s="9" t="inlineStr">
        <is>
          <t>Owner</t>
        </is>
      </c>
      <c r="F85" s="9" t="inlineStr">
        <is>
          <t>Due</t>
        </is>
      </c>
      <c r="G85" s="9" t="inlineStr">
        <is>
          <t>Days Overdue</t>
        </is>
      </c>
      <c r="H85" s="9" t="inlineStr">
        <is>
          <t>Blocker</t>
        </is>
      </c>
      <c r="I85" s="9" t="inlineStr">
        <is>
          <t>Last Contact Result</t>
        </is>
      </c>
      <c r="J85" s="9" t="inlineStr">
        <is>
          <t>REI Link</t>
        </is>
      </c>
    </row>
    <row r="86">
      <c r="A86" s="2">
        <f>IFERROR(QUERY(Data!A2:BZ1000,"select B,D,AQ,AF,AH,AG,AK,AI,AE,H where B is not null and (AR='Lost' and AJ&gt;=45) order by AJ desc limit 50",0),"— none —")</f>
        <v/>
      </c>
    </row>
    <row r="94">
      <c r="A94" s="7" t="inlineStr">
        <is>
          <t>10. Exceptions Requiring Review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9" t="inlineStr">
        <is>
          <t>Address</t>
        </is>
      </c>
      <c r="B95" s="9" t="inlineStr">
        <is>
          <t>Seller</t>
        </is>
      </c>
      <c r="C95" s="9" t="inlineStr">
        <is>
          <t>Stage</t>
        </is>
      </c>
      <c r="D95" s="9" t="inlineStr">
        <is>
          <t>Next Action</t>
        </is>
      </c>
      <c r="E95" s="9" t="inlineStr">
        <is>
          <t>Owner</t>
        </is>
      </c>
      <c r="F95" s="9" t="inlineStr">
        <is>
          <t>Due</t>
        </is>
      </c>
      <c r="G95" s="9" t="inlineStr">
        <is>
          <t>Days Overdue</t>
        </is>
      </c>
      <c r="H95" s="9" t="inlineStr">
        <is>
          <t>Blocker</t>
        </is>
      </c>
      <c r="I95" s="9" t="inlineStr">
        <is>
          <t>Last Contact Result</t>
        </is>
      </c>
      <c r="J95" s="9" t="inlineStr">
        <is>
          <t>REI Link</t>
        </is>
      </c>
    </row>
    <row r="96">
      <c r="A96" s="2">
        <f>IFERROR(QUERY(Data!A2:BZ1000,"select B,D,AQ,AF,AH,AG,AK,AI,AE,H where B is not null and (BD='Exception' or BD='Incomplete') order by AQ limit 50",0),"— none —")</f>
        <v/>
      </c>
    </row>
    <row r="105">
      <c r="A105" s="6" t="inlineStr">
        <is>
          <t>QUICK FILTERS (live sheet): use the toolbar Filter Views 'My Tasks', 'Due Today', 'Overdue', 'Stalled', 'Needs Offer Decision', 'Offer Follow-Up', 'Negotiation Decision', 'Contracts Possible This Week', 'Gift Review', 'Exceptions' — created by Setup.gs.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34" customWidth="1" min="13" max="13"/>
    <col width="16" customWidth="1" min="14" max="14"/>
    <col width="16" customWidth="1" min="15" max="15"/>
    <col width="34" customWidth="1" min="16" max="16"/>
    <col width="34" customWidth="1" min="17" max="17"/>
    <col width="34" customWidth="1" min="18" max="18"/>
    <col width="34" customWidth="1" min="19" max="19"/>
    <col width="16" customWidth="1" min="20" max="20"/>
    <col width="16" customWidth="1" min="21" max="21"/>
    <col width="16" customWidth="1" min="22" max="22"/>
    <col width="34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34" customWidth="1" min="31" max="31"/>
    <col width="34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4" customWidth="1" min="40" max="40"/>
    <col width="16" customWidth="1" min="41" max="41"/>
    <col width="16" customWidth="1" min="42" max="42"/>
    <col width="16" customWidth="1" min="43" max="43"/>
    <col width="16" customWidth="1" min="44" max="44"/>
    <col width="34" customWidth="1" min="45" max="45"/>
    <col width="16" customWidth="1" min="46" max="46"/>
    <col width="16" customWidth="1" min="47" max="47"/>
    <col width="16" customWidth="1" min="48" max="48"/>
    <col width="34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34" customWidth="1" min="57" max="57"/>
    <col width="16" customWidth="1" min="58" max="58"/>
    <col width="16" customWidth="1" min="59" max="59"/>
  </cols>
  <sheetData>
    <row r="1" ht="34" customHeight="1">
      <c r="A1" s="10" t="inlineStr">
        <is>
          <t>Property ID</t>
        </is>
      </c>
      <c r="B1" s="10" t="inlineStr">
        <is>
          <t>Property Address</t>
        </is>
      </c>
      <c r="C1" s="10" t="inlineStr">
        <is>
          <t>Normalized Address</t>
        </is>
      </c>
      <c r="D1" s="10" t="inlineStr">
        <is>
          <t>Seller Name</t>
        </is>
      </c>
      <c r="E1" s="10" t="inlineStr">
        <is>
          <t>Phone</t>
        </is>
      </c>
      <c r="F1" s="10" t="inlineStr">
        <is>
          <t>Email</t>
        </is>
      </c>
      <c r="G1" s="10" t="inlineStr">
        <is>
          <t>Lead Source</t>
        </is>
      </c>
      <c r="H1" s="10" t="inlineStr">
        <is>
          <t>REI BlackBook Link</t>
        </is>
      </c>
      <c r="I1" s="11" t="inlineStr">
        <is>
          <t>Visit Date</t>
        </is>
      </c>
      <c r="J1" s="11" t="inlineStr">
        <is>
          <t>Visit Time</t>
        </is>
      </c>
      <c r="K1" s="11" t="inlineStr">
        <is>
          <t>Visit Status</t>
        </is>
      </c>
      <c r="L1" s="11" t="inlineStr">
        <is>
          <t>Assigned Visitor</t>
        </is>
      </c>
      <c r="M1" s="11" t="inlineStr">
        <is>
          <t>Visit Notes</t>
        </is>
      </c>
      <c r="N1" s="11" t="inlineStr">
        <is>
          <t>Property Condition</t>
        </is>
      </c>
      <c r="O1" s="11" t="inlineStr">
        <is>
          <t>Occupancy Status</t>
        </is>
      </c>
      <c r="P1" s="11" t="inlineStr">
        <is>
          <t>Photos Link</t>
        </is>
      </c>
      <c r="Q1" s="11" t="inlineStr">
        <is>
          <t>Video Link</t>
        </is>
      </c>
      <c r="R1" s="11" t="inlineStr">
        <is>
          <t>File Link</t>
        </is>
      </c>
      <c r="S1" s="12" t="inlineStr">
        <is>
          <t>Seller Motivation</t>
        </is>
      </c>
      <c r="T1" s="12" t="inlineStr">
        <is>
          <t>Seller Timeline</t>
        </is>
      </c>
      <c r="U1" s="12" t="inlineStr">
        <is>
          <t>Asking Price</t>
        </is>
      </c>
      <c r="V1" s="12" t="inlineStr">
        <is>
          <t>Price Expectation</t>
        </is>
      </c>
      <c r="W1" s="12" t="inlineStr">
        <is>
          <t>Seller Concerns</t>
        </is>
      </c>
      <c r="X1" s="13" t="inlineStr">
        <is>
          <t>Approved Offer Amount</t>
        </is>
      </c>
      <c r="Y1" s="13" t="inlineStr">
        <is>
          <t>Offer Status</t>
        </is>
      </c>
      <c r="Z1" s="13" t="inlineStr">
        <is>
          <t>Offer Prepared Date</t>
        </is>
      </c>
      <c r="AA1" s="13" t="inlineStr">
        <is>
          <t>Offer Sent Date</t>
        </is>
      </c>
      <c r="AB1" s="13" t="inlineStr">
        <is>
          <t>Offer Received Confirmation</t>
        </is>
      </c>
      <c r="AC1" s="13" t="inlineStr">
        <is>
          <t>Counteroffer Amount</t>
        </is>
      </c>
      <c r="AD1" s="14" t="inlineStr">
        <is>
          <t>Last Contact Date</t>
        </is>
      </c>
      <c r="AE1" s="14" t="inlineStr">
        <is>
          <t>Last Contact Result</t>
        </is>
      </c>
      <c r="AF1" s="14" t="inlineStr">
        <is>
          <t>Next Action</t>
        </is>
      </c>
      <c r="AG1" s="14" t="inlineStr">
        <is>
          <t>Next Action Due Date</t>
        </is>
      </c>
      <c r="AH1" s="14" t="inlineStr">
        <is>
          <t>Assigned Owner</t>
        </is>
      </c>
      <c r="AI1" s="14" t="inlineStr">
        <is>
          <t>Blocker</t>
        </is>
      </c>
      <c r="AJ1" s="14" t="inlineStr">
        <is>
          <t>Days Since Last Activity</t>
        </is>
      </c>
      <c r="AK1" s="14" t="inlineStr">
        <is>
          <t>Days Overdue</t>
        </is>
      </c>
      <c r="AL1" s="14" t="inlineStr">
        <is>
          <t>Stalled Status</t>
        </is>
      </c>
      <c r="AM1" s="15" t="inlineStr">
        <is>
          <t>Gift Status</t>
        </is>
      </c>
      <c r="AN1" s="15" t="inlineStr">
        <is>
          <t>Gift Recommendation Reason</t>
        </is>
      </c>
      <c r="AO1" s="15" t="inlineStr">
        <is>
          <t>Gift Approval Owner</t>
        </is>
      </c>
      <c r="AP1" s="15" t="inlineStr">
        <is>
          <t>Gift Sent Date</t>
        </is>
      </c>
      <c r="AQ1" s="16" t="inlineStr">
        <is>
          <t>Current Stage</t>
        </is>
      </c>
      <c r="AR1" s="16" t="inlineStr">
        <is>
          <t>Final Disposition</t>
        </is>
      </c>
      <c r="AS1" s="16" t="inlineStr">
        <is>
          <t>Closeout Reason</t>
        </is>
      </c>
      <c r="AT1" s="16" t="inlineStr">
        <is>
          <t>Contract Sent Date</t>
        </is>
      </c>
      <c r="AU1" s="16" t="inlineStr">
        <is>
          <t>Contract Signed Date</t>
        </is>
      </c>
      <c r="AV1" s="16" t="inlineStr">
        <is>
          <t>Transaction Handoff Status</t>
        </is>
      </c>
      <c r="AW1" s="17" t="inlineStr">
        <is>
          <t>Missing Required Fields</t>
        </is>
      </c>
      <c r="AX1" s="17" t="inlineStr">
        <is>
          <t>Duplicate Address Flag</t>
        </is>
      </c>
      <c r="AY1" s="17" t="inlineStr">
        <is>
          <t>Opportunity Priority</t>
        </is>
      </c>
      <c r="AZ1" s="18" t="inlineStr">
        <is>
          <t>Created Date</t>
        </is>
      </c>
      <c r="BA1" s="18" t="inlineStr">
        <is>
          <t>Last Updated Date</t>
        </is>
      </c>
      <c r="BB1" s="18" t="inlineStr">
        <is>
          <t>Updated By</t>
        </is>
      </c>
      <c r="BC1" s="18" t="inlineStr">
        <is>
          <t>Source</t>
        </is>
      </c>
      <c r="BD1" s="18" t="inlineStr">
        <is>
          <t>Data Quality Status</t>
        </is>
      </c>
      <c r="BE1" s="18" t="inlineStr">
        <is>
          <t>Exception Reason</t>
        </is>
      </c>
      <c r="BF1" s="18" t="inlineStr">
        <is>
          <t>REI Update Required</t>
        </is>
      </c>
      <c r="BG1" s="18" t="inlineStr">
        <is>
          <t>REI Update Completed</t>
        </is>
      </c>
    </row>
    <row r="2">
      <c r="A2" s="19" t="inlineStr">
        <is>
          <t>TVL-0001</t>
        </is>
      </c>
      <c r="B2" s="19" t="inlineStr">
        <is>
          <t>2607 Gimelli Pl, Apt 115, San Jose, CA 95133</t>
        </is>
      </c>
      <c r="C2" s="19">
        <f>IF($B2="","",TRIM(LOWER(SUBSTITUTE(SUBSTITUTE(SUBSTITUTE(SUBSTITUTE(SUBSTITUTE($B2,",",""),".","")," apt "," "),"#","")," unit "," "))))</f>
        <v/>
      </c>
      <c r="D2" s="19" t="inlineStr">
        <is>
          <t>Cyn Ku</t>
        </is>
      </c>
      <c r="E2" s="19" t="inlineStr">
        <is>
          <t>(510) 284-7867</t>
        </is>
      </c>
      <c r="F2" s="19" t="n"/>
      <c r="G2" s="19" t="inlineStr">
        <is>
          <t>PPL - Property Leads</t>
        </is>
      </c>
      <c r="H2" s="19" t="n"/>
      <c r="I2" s="20" t="n">
        <v>46227</v>
      </c>
      <c r="J2" s="19" t="n"/>
      <c r="K2" s="19" t="inlineStr">
        <is>
          <t>Scheduled</t>
        </is>
      </c>
      <c r="L2" s="19" t="inlineStr">
        <is>
          <t>Juan</t>
        </is>
      </c>
      <c r="M2" s="19" t="inlineStr">
        <is>
          <t>Cyn still interested in selling; 2nd property she wants to sell to us.</t>
        </is>
      </c>
      <c r="N2" s="19" t="n"/>
      <c r="O2" s="19" t="n"/>
      <c r="P2" s="19" t="n"/>
      <c r="Q2" s="19" t="n"/>
      <c r="R2" s="19" t="n"/>
      <c r="S2" s="19" t="n"/>
      <c r="T2" s="19" t="n"/>
      <c r="U2" s="21" t="n"/>
      <c r="V2" s="21" t="n"/>
      <c r="W2" s="19" t="n"/>
      <c r="X2" s="21" t="n"/>
      <c r="Y2" s="19" t="n"/>
      <c r="Z2" s="19" t="n"/>
      <c r="AA2" s="19" t="n"/>
      <c r="AB2" s="19" t="n"/>
      <c r="AC2" s="21" t="n"/>
      <c r="AD2" s="19" t="n"/>
      <c r="AE2" s="19" t="n"/>
      <c r="AF2" s="19" t="inlineStr">
        <is>
          <t>Conduct scheduled visit &amp; log outcome</t>
        </is>
      </c>
      <c r="AG2" s="20" t="n">
        <v>46227</v>
      </c>
      <c r="AH2" s="19" t="inlineStr">
        <is>
          <t>Juan</t>
        </is>
      </c>
      <c r="AI2" s="19" t="n"/>
      <c r="AJ2" s="19">
        <f>IF($B2="","",IF(AND($AD2="",$BA2="",$I2=""),"",TODAY()-MAX($AD2,$BA2,$I2)))</f>
        <v/>
      </c>
      <c r="AK2" s="19">
        <f>IF($B2="","",IF($AG2="","",IF(TODAY()&gt;$AG2,TODAY()-$AG2,0)))</f>
        <v/>
      </c>
      <c r="AL2" s="19">
        <f>IF($B2="","",IF(OR($AQ2="Lost / Closed Out",$AQ2="Long-Term Nurture",$AQ2="Contract Signed"),"No",IF(MAX($AD2,$BA2,$I2)=0,"No",IF(NETWORKDAYS(MAX($AD2,$BA2,$I2),TODAY())-1&gt;=3,"Yes","No"))))</f>
        <v/>
      </c>
      <c r="AM2" s="19" t="n"/>
      <c r="AN2" s="19" t="n"/>
      <c r="AO2" s="19" t="n"/>
      <c r="AP2" s="19" t="n"/>
      <c r="AQ2" s="19" t="inlineStr">
        <is>
          <t>Visit Scheduled</t>
        </is>
      </c>
      <c r="AR2" s="19" t="n"/>
      <c r="AS2" s="19" t="n"/>
      <c r="AT2" s="19" t="n"/>
      <c r="AU2" s="19" t="n"/>
      <c r="AV2" s="19" t="n"/>
      <c r="AW2" s="19">
        <f>IF(OR($B2="",$AQ2="Lost / Closed Out"),"",_xlfn.TEXTJOIN(", ",TRUE,IF($B2="","Property Address",""),IF($AQ2="","Current Stage",""),IF($AF2="","Next Action",""),IF($AG2="","Next Action Due Date",""),IF($AH2="","Assigned Owner",""),IF($H2="","REI BlackBook Link","")))</f>
        <v/>
      </c>
      <c r="AX2" s="19">
        <f>IF($C2="","",IF(COUNTIFS($C$2:$C$1000,$C2,$AQ$2:$AQ$1000,"&lt;&gt;Lost / Closed Out")&gt;1,"Duplicate",""))</f>
        <v/>
      </c>
      <c r="AY2" s="19">
        <f>IF($B2="","",IF($AQ2="Verbal Agreement",100,IF($AQ2="Contract Sent",95,IF($AQ2="Active Negotiation",85,IF($AQ2="Offer Sent",70,IF($AQ2="Offer Preparation",60,IF($AQ2="Visit Completed — Needs Review",50,IF($AQ2="Visit Scheduled",30,IF($AQ2="Long-Term Nurture",10,IF($AQ2="Contract Signed",5,0)))))))))+IF($AK2="",0,MIN($AK2,20))+IF($AL2="Yes",5,0))</f>
        <v/>
      </c>
      <c r="AZ2" s="20" t="n">
        <v>46227</v>
      </c>
      <c r="BA2" s="20" t="n">
        <v>46227</v>
      </c>
      <c r="BB2" s="19" t="inlineStr">
        <is>
          <t>Import</t>
        </is>
      </c>
      <c r="BC2" s="19" t="inlineStr">
        <is>
          <t>Import</t>
        </is>
      </c>
      <c r="BD2" s="19">
        <f>IF($B2="","",IF($BE2&lt;&gt;"","Exception",IF($AW2&lt;&gt;"","Incomplete","OK")))</f>
        <v/>
      </c>
      <c r="BE2" s="19">
        <f>IF($B2="","",_xlfn.TEXTJOIN(" | ",TRUE,IF(AND($K2="Completed",$M2=""),"Completed visit missing Visit Notes",""),IF(AND($K2="Completed",$S2=""),"Completed visit missing Seller Motivation (or add Exception note)",""),IF(AND($AQ2="Offer Sent",OR($X2="",$AA2="")),"Offer Sent needs Approved Offer Amount + Offer Sent Date",""),IF(AND($AQ2="Active Negotiation",OR($AE2="",$AF2="",$AH2="",$AG2="")),"Active Negotiation needs Last Contact Result + Next Action + Owner + Due Date",""),IF(AND($AQ2="Contract Sent",$AT2="",$R2=""),"Contract Sent needs Contract Sent Date or File Link",""),IF(AND($AQ2="Contract Signed",$AU2=""),"Contract Signed needs Contract Signed Date",""),IF(AND($AQ2="Long-Term Nurture",OR($AG2="",$AG2&lt;=TODAY())),"Long-Term Nurture needs an exact FUTURE follow-up date",""),IF(AND($AQ2="Lost / Closed Out",OR($AR2="",$AS2="")),"Lost / Closed Out needs Final Disposition + Closeout Reason",""),IF(AND($AM2="Sent",$AO2=""),"Gift marked Sent without recorded approval",""),IF($AX2="Duplicate","Duplicate active record for this address","")))</f>
        <v/>
      </c>
      <c r="BF2" s="19" t="inlineStr">
        <is>
          <t>Yes</t>
        </is>
      </c>
      <c r="BG2" s="19" t="n"/>
    </row>
    <row r="3">
      <c r="A3" s="19" t="inlineStr">
        <is>
          <t>TVL-0002</t>
        </is>
      </c>
      <c r="B3" s="19" t="inlineStr">
        <is>
          <t>1253 Edgewood Rd, Redwood City, CA 94062</t>
        </is>
      </c>
      <c r="C3" s="19">
        <f>IF($B3="","",TRIM(LOWER(SUBSTITUTE(SUBSTITUTE(SUBSTITUTE(SUBSTITUTE(SUBSTITUTE($B3,",",""),".","")," apt "," "),"#","")," unit "," "))))</f>
        <v/>
      </c>
      <c r="D3" s="19" t="inlineStr">
        <is>
          <t>Steve Giorgi</t>
        </is>
      </c>
      <c r="E3" s="19" t="inlineStr">
        <is>
          <t>(650) 333-8189</t>
        </is>
      </c>
      <c r="F3" s="19" t="n"/>
      <c r="G3" s="19" t="inlineStr">
        <is>
          <t>PPL - Property Leads</t>
        </is>
      </c>
      <c r="H3" s="19" t="n"/>
      <c r="I3" s="20" t="n">
        <v>46225</v>
      </c>
      <c r="J3" s="19" t="n"/>
      <c r="K3" s="19" t="inlineStr">
        <is>
          <t>Scheduled</t>
        </is>
      </c>
      <c r="L3" s="19" t="inlineStr">
        <is>
          <t>Juan</t>
        </is>
      </c>
      <c r="M3" s="19" t="inlineStr">
        <is>
          <t>Appointment booked; note outcome after visit.</t>
        </is>
      </c>
      <c r="N3" s="19" t="n"/>
      <c r="O3" s="19" t="n"/>
      <c r="P3" s="19" t="n"/>
      <c r="Q3" s="19" t="n"/>
      <c r="R3" s="19" t="n"/>
      <c r="S3" s="19" t="n"/>
      <c r="T3" s="19" t="n"/>
      <c r="U3" s="21" t="n"/>
      <c r="V3" s="21" t="n"/>
      <c r="W3" s="19" t="n"/>
      <c r="X3" s="21" t="n"/>
      <c r="Y3" s="19" t="n"/>
      <c r="Z3" s="19" t="n"/>
      <c r="AA3" s="19" t="n"/>
      <c r="AB3" s="19" t="n"/>
      <c r="AC3" s="21" t="n"/>
      <c r="AD3" s="19" t="n"/>
      <c r="AE3" s="19" t="n"/>
      <c r="AF3" s="19" t="inlineStr">
        <is>
          <t>Conduct scheduled visit &amp; log outcome</t>
        </is>
      </c>
      <c r="AG3" s="20" t="n">
        <v>46225</v>
      </c>
      <c r="AH3" s="19" t="inlineStr">
        <is>
          <t>Juan</t>
        </is>
      </c>
      <c r="AI3" s="19" t="n"/>
      <c r="AJ3" s="19">
        <f>IF($B3="","",IF(AND($AD3="",$BA3="",$I3=""),"",TODAY()-MAX($AD3,$BA3,$I3)))</f>
        <v/>
      </c>
      <c r="AK3" s="19">
        <f>IF($B3="","",IF($AG3="","",IF(TODAY()&gt;$AG3,TODAY()-$AG3,0)))</f>
        <v/>
      </c>
      <c r="AL3" s="19">
        <f>IF($B3="","",IF(OR($AQ3="Lost / Closed Out",$AQ3="Long-Term Nurture",$AQ3="Contract Signed"),"No",IF(MAX($AD3,$BA3,$I3)=0,"No",IF(NETWORKDAYS(MAX($AD3,$BA3,$I3),TODAY())-1&gt;=3,"Yes","No"))))</f>
        <v/>
      </c>
      <c r="AM3" s="19" t="n"/>
      <c r="AN3" s="19" t="n"/>
      <c r="AO3" s="19" t="n"/>
      <c r="AP3" s="19" t="n"/>
      <c r="AQ3" s="19" t="inlineStr">
        <is>
          <t>Visit Scheduled</t>
        </is>
      </c>
      <c r="AR3" s="19" t="n"/>
      <c r="AS3" s="19" t="n"/>
      <c r="AT3" s="19" t="n"/>
      <c r="AU3" s="19" t="n"/>
      <c r="AV3" s="19" t="n"/>
      <c r="AW3" s="19">
        <f>IF(OR($B3="",$AQ3="Lost / Closed Out"),"",_xlfn.TEXTJOIN(", ",TRUE,IF($B3="","Property Address",""),IF($AQ3="","Current Stage",""),IF($AF3="","Next Action",""),IF($AG3="","Next Action Due Date",""),IF($AH3="","Assigned Owner",""),IF($H3="","REI BlackBook Link","")))</f>
        <v/>
      </c>
      <c r="AX3" s="19">
        <f>IF($C3="","",IF(COUNTIFS($C$2:$C$1000,$C3,$AQ$2:$AQ$1000,"&lt;&gt;Lost / Closed Out")&gt;1,"Duplicate",""))</f>
        <v/>
      </c>
      <c r="AY3" s="19">
        <f>IF($B3="","",IF($AQ3="Verbal Agreement",100,IF($AQ3="Contract Sent",95,IF($AQ3="Active Negotiation",85,IF($AQ3="Offer Sent",70,IF($AQ3="Offer Preparation",60,IF($AQ3="Visit Completed — Needs Review",50,IF($AQ3="Visit Scheduled",30,IF($AQ3="Long-Term Nurture",10,IF($AQ3="Contract Signed",5,0)))))))))+IF($AK3="",0,MIN($AK3,20))+IF($AL3="Yes",5,0))</f>
        <v/>
      </c>
      <c r="AZ3" s="20" t="n">
        <v>46225</v>
      </c>
      <c r="BA3" s="20" t="n">
        <v>46225</v>
      </c>
      <c r="BB3" s="19" t="inlineStr">
        <is>
          <t>Import</t>
        </is>
      </c>
      <c r="BC3" s="19" t="inlineStr">
        <is>
          <t>Import</t>
        </is>
      </c>
      <c r="BD3" s="19">
        <f>IF($B3="","",IF($BE3&lt;&gt;"","Exception",IF($AW3&lt;&gt;"","Incomplete","OK")))</f>
        <v/>
      </c>
      <c r="BE3" s="19">
        <f>IF($B3="","",_xlfn.TEXTJOIN(" | ",TRUE,IF(AND($K3="Completed",$M3=""),"Completed visit missing Visit Notes",""),IF(AND($K3="Completed",$S3=""),"Completed visit missing Seller Motivation (or add Exception note)",""),IF(AND($AQ3="Offer Sent",OR($X3="",$AA3="")),"Offer Sent needs Approved Offer Amount + Offer Sent Date",""),IF(AND($AQ3="Active Negotiation",OR($AE3="",$AF3="",$AH3="",$AG3="")),"Active Negotiation needs Last Contact Result + Next Action + Owner + Due Date",""),IF(AND($AQ3="Contract Sent",$AT3="",$R3=""),"Contract Sent needs Contract Sent Date or File Link",""),IF(AND($AQ3="Contract Signed",$AU3=""),"Contract Signed needs Contract Signed Date",""),IF(AND($AQ3="Long-Term Nurture",OR($AG3="",$AG3&lt;=TODAY())),"Long-Term Nurture needs an exact FUTURE follow-up date",""),IF(AND($AQ3="Lost / Closed Out",OR($AR3="",$AS3="")),"Lost / Closed Out needs Final Disposition + Closeout Reason",""),IF(AND($AM3="Sent",$AO3=""),"Gift marked Sent without recorded approval",""),IF($AX3="Duplicate","Duplicate active record for this address","")))</f>
        <v/>
      </c>
      <c r="BF3" s="19" t="inlineStr">
        <is>
          <t>Yes</t>
        </is>
      </c>
      <c r="BG3" s="19" t="n"/>
    </row>
    <row r="4">
      <c r="A4" s="19" t="inlineStr">
        <is>
          <t>TVL-0003</t>
        </is>
      </c>
      <c r="B4" s="19" t="inlineStr">
        <is>
          <t>519 S 17th St, Richmond, CA 94804</t>
        </is>
      </c>
      <c r="C4" s="19">
        <f>IF($B4="","",TRIM(LOWER(SUBSTITUTE(SUBSTITUTE(SUBSTITUTE(SUBSTITUTE(SUBSTITUTE($B4,",",""),".","")," apt "," "),"#","")," unit "," "))))</f>
        <v/>
      </c>
      <c r="D4" s="19" t="inlineStr">
        <is>
          <t>Carmen Green</t>
        </is>
      </c>
      <c r="E4" s="19" t="inlineStr">
        <is>
          <t>(916) 752-5759</t>
        </is>
      </c>
      <c r="F4" s="19" t="n"/>
      <c r="G4" s="19" t="inlineStr">
        <is>
          <t>PPL - Motivated Leads</t>
        </is>
      </c>
      <c r="H4" s="19" t="n"/>
      <c r="I4" s="20" t="n">
        <v>46223</v>
      </c>
      <c r="J4" s="19" t="n"/>
      <c r="K4" s="19" t="inlineStr">
        <is>
          <t>Completed</t>
        </is>
      </c>
      <c r="L4" s="19" t="inlineStr">
        <is>
          <t>Juan</t>
        </is>
      </c>
      <c r="M4" s="19" t="inlineStr">
        <is>
          <t>Offer sent via email + SignNow contract; Juan following up directly.</t>
        </is>
      </c>
      <c r="N4" s="19" t="n"/>
      <c r="O4" s="19" t="n"/>
      <c r="P4" s="19" t="n"/>
      <c r="Q4" s="19" t="n"/>
      <c r="R4" s="19" t="n"/>
      <c r="S4" s="19" t="inlineStr">
        <is>
          <t>Interested in selling (motivation detail not captured in legacy)</t>
        </is>
      </c>
      <c r="T4" s="19" t="n"/>
      <c r="U4" s="21" t="n"/>
      <c r="V4" s="21" t="n"/>
      <c r="W4" s="19" t="n"/>
      <c r="X4" s="21" t="n"/>
      <c r="Y4" s="19" t="inlineStr">
        <is>
          <t>Sent</t>
        </is>
      </c>
      <c r="Z4" s="19" t="n"/>
      <c r="AA4" s="19" t="n"/>
      <c r="AB4" s="19" t="n"/>
      <c r="AC4" s="21" t="n"/>
      <c r="AD4" s="20" t="n">
        <v>46223</v>
      </c>
      <c r="AE4" s="19" t="inlineStr">
        <is>
          <t>Offer emailed; awaiting seller response</t>
        </is>
      </c>
      <c r="AF4" s="19" t="inlineStr">
        <is>
          <t>Follow up on sent offer</t>
        </is>
      </c>
      <c r="AG4" s="20" t="n">
        <v>46226</v>
      </c>
      <c r="AH4" s="19" t="inlineStr">
        <is>
          <t>Juan</t>
        </is>
      </c>
      <c r="AI4" s="19" t="n"/>
      <c r="AJ4" s="19">
        <f>IF($B4="","",IF(AND($AD4="",$BA4="",$I4=""),"",TODAY()-MAX($AD4,$BA4,$I4)))</f>
        <v/>
      </c>
      <c r="AK4" s="19">
        <f>IF($B4="","",IF($AG4="","",IF(TODAY()&gt;$AG4,TODAY()-$AG4,0)))</f>
        <v/>
      </c>
      <c r="AL4" s="19">
        <f>IF($B4="","",IF(OR($AQ4="Lost / Closed Out",$AQ4="Long-Term Nurture",$AQ4="Contract Signed"),"No",IF(MAX($AD4,$BA4,$I4)=0,"No",IF(NETWORKDAYS(MAX($AD4,$BA4,$I4),TODAY())-1&gt;=3,"Yes","No"))))</f>
        <v/>
      </c>
      <c r="AM4" s="19" t="n"/>
      <c r="AN4" s="19" t="n"/>
      <c r="AO4" s="19" t="n"/>
      <c r="AP4" s="19" t="n"/>
      <c r="AQ4" s="19" t="inlineStr">
        <is>
          <t>Offer Sent</t>
        </is>
      </c>
      <c r="AR4" s="19" t="n"/>
      <c r="AS4" s="19" t="n"/>
      <c r="AT4" s="19" t="n"/>
      <c r="AU4" s="19" t="n"/>
      <c r="AV4" s="19" t="n"/>
      <c r="AW4" s="19">
        <f>IF(OR($B4="",$AQ4="Lost / Closed Out"),"",_xlfn.TEXTJOIN(", ",TRUE,IF($B4="","Property Address",""),IF($AQ4="","Current Stage",""),IF($AF4="","Next Action",""),IF($AG4="","Next Action Due Date",""),IF($AH4="","Assigned Owner",""),IF($H4="","REI BlackBook Link","")))</f>
        <v/>
      </c>
      <c r="AX4" s="19">
        <f>IF($C4="","",IF(COUNTIFS($C$2:$C$1000,$C4,$AQ$2:$AQ$1000,"&lt;&gt;Lost / Closed Out")&gt;1,"Duplicate",""))</f>
        <v/>
      </c>
      <c r="AY4" s="19">
        <f>IF($B4="","",IF($AQ4="Verbal Agreement",100,IF($AQ4="Contract Sent",95,IF($AQ4="Active Negotiation",85,IF($AQ4="Offer Sent",70,IF($AQ4="Offer Preparation",60,IF($AQ4="Visit Completed — Needs Review",50,IF($AQ4="Visit Scheduled",30,IF($AQ4="Long-Term Nurture",10,IF($AQ4="Contract Signed",5,0)))))))))+IF($AK4="",0,MIN($AK4,20))+IF($AL4="Yes",5,0))</f>
        <v/>
      </c>
      <c r="AZ4" s="20" t="n">
        <v>46223</v>
      </c>
      <c r="BA4" s="20" t="n">
        <v>46223</v>
      </c>
      <c r="BB4" s="19" t="inlineStr">
        <is>
          <t>Import</t>
        </is>
      </c>
      <c r="BC4" s="19" t="inlineStr">
        <is>
          <t>Import</t>
        </is>
      </c>
      <c r="BD4" s="19">
        <f>IF($B4="","",IF($BE4&lt;&gt;"","Exception",IF($AW4&lt;&gt;"","Incomplete","OK")))</f>
        <v/>
      </c>
      <c r="BE4" s="19">
        <f>IF($B4="","",_xlfn.TEXTJOIN(" | ",TRUE,IF(AND($K4="Completed",$M4=""),"Completed visit missing Visit Notes",""),IF(AND($K4="Completed",$S4=""),"Completed visit missing Seller Motivation (or add Exception note)",""),IF(AND($AQ4="Offer Sent",OR($X4="",$AA4="")),"Offer Sent needs Approved Offer Amount + Offer Sent Date",""),IF(AND($AQ4="Active Negotiation",OR($AE4="",$AF4="",$AH4="",$AG4="")),"Active Negotiation needs Last Contact Result + Next Action + Owner + Due Date",""),IF(AND($AQ4="Contract Sent",$AT4="",$R4=""),"Contract Sent needs Contract Sent Date or File Link",""),IF(AND($AQ4="Contract Signed",$AU4=""),"Contract Signed needs Contract Signed Date",""),IF(AND($AQ4="Long-Term Nurture",OR($AG4="",$AG4&lt;=TODAY())),"Long-Term Nurture needs an exact FUTURE follow-up date",""),IF(AND($AQ4="Lost / Closed Out",OR($AR4="",$AS4="")),"Lost / Closed Out needs Final Disposition + Closeout Reason",""),IF(AND($AM4="Sent",$AO4=""),"Gift marked Sent without recorded approval",""),IF($AX4="Duplicate","Duplicate active record for this address","")))</f>
        <v/>
      </c>
      <c r="BF4" s="19" t="inlineStr">
        <is>
          <t>Yes</t>
        </is>
      </c>
      <c r="BG4" s="19" t="n"/>
    </row>
    <row r="5">
      <c r="A5" s="19" t="inlineStr">
        <is>
          <t>TVL-0004</t>
        </is>
      </c>
      <c r="B5" s="19" t="inlineStr">
        <is>
          <t>5 Lancaster Cir Apt 121, Bay Point, CA 94565</t>
        </is>
      </c>
      <c r="C5" s="19">
        <f>IF($B5="","",TRIM(LOWER(SUBSTITUTE(SUBSTITUTE(SUBSTITUTE(SUBSTITUTE(SUBSTITUTE($B5,",",""),".","")," apt "," "),"#","")," unit "," "))))</f>
        <v/>
      </c>
      <c r="D5" s="19" t="inlineStr">
        <is>
          <t>Dorol Conrad</t>
        </is>
      </c>
      <c r="E5" s="19" t="inlineStr">
        <is>
          <t>(415) 370-9841</t>
        </is>
      </c>
      <c r="F5" s="19" t="n"/>
      <c r="G5" s="19" t="inlineStr">
        <is>
          <t>PPL - Property Leads</t>
        </is>
      </c>
      <c r="H5" s="19" t="n"/>
      <c r="I5" s="20" t="n">
        <v>46223</v>
      </c>
      <c r="J5" s="19" t="n"/>
      <c r="K5" s="19" t="inlineStr">
        <is>
          <t>Canceled</t>
        </is>
      </c>
      <c r="L5" s="19" t="n"/>
      <c r="M5" s="19" t="inlineStr">
        <is>
          <t>Equity 100% but property already listed on the MLS.</t>
        </is>
      </c>
      <c r="N5" s="19" t="n"/>
      <c r="O5" s="19" t="n"/>
      <c r="P5" s="19" t="n"/>
      <c r="Q5" s="19" t="n"/>
      <c r="R5" s="19" t="n"/>
      <c r="S5" s="19" t="n"/>
      <c r="T5" s="19" t="n"/>
      <c r="U5" s="21" t="n"/>
      <c r="V5" s="21" t="n"/>
      <c r="W5" s="19" t="n"/>
      <c r="X5" s="21" t="n"/>
      <c r="Y5" s="19" t="n"/>
      <c r="Z5" s="19" t="n"/>
      <c r="AA5" s="19" t="n"/>
      <c r="AB5" s="19" t="n"/>
      <c r="AC5" s="21" t="n"/>
      <c r="AD5" s="19" t="n"/>
      <c r="AE5" s="19" t="n"/>
      <c r="AF5" s="19" t="n"/>
      <c r="AG5" s="19" t="n"/>
      <c r="AH5" s="19" t="n"/>
      <c r="AI5" s="19" t="n"/>
      <c r="AJ5" s="19">
        <f>IF($B5="","",IF(AND($AD5="",$BA5="",$I5=""),"",TODAY()-MAX($AD5,$BA5,$I5)))</f>
        <v/>
      </c>
      <c r="AK5" s="19">
        <f>IF($B5="","",IF($AG5="","",IF(TODAY()&gt;$AG5,TODAY()-$AG5,0)))</f>
        <v/>
      </c>
      <c r="AL5" s="19">
        <f>IF($B5="","",IF(OR($AQ5="Lost / Closed Out",$AQ5="Long-Term Nurture",$AQ5="Contract Signed"),"No",IF(MAX($AD5,$BA5,$I5)=0,"No",IF(NETWORKDAYS(MAX($AD5,$BA5,$I5),TODAY())-1&gt;=3,"Yes","No"))))</f>
        <v/>
      </c>
      <c r="AM5" s="19" t="n"/>
      <c r="AN5" s="19" t="n"/>
      <c r="AO5" s="19" t="n"/>
      <c r="AP5" s="19" t="n"/>
      <c r="AQ5" s="19" t="inlineStr">
        <is>
          <t>Lost / Closed Out</t>
        </is>
      </c>
      <c r="AR5" s="19" t="inlineStr">
        <is>
          <t>Lost</t>
        </is>
      </c>
      <c r="AS5" s="19" t="inlineStr">
        <is>
          <t>We're Passing — already listed on MLS</t>
        </is>
      </c>
      <c r="AT5" s="19" t="n"/>
      <c r="AU5" s="19" t="n"/>
      <c r="AV5" s="19" t="n"/>
      <c r="AW5" s="19">
        <f>IF(OR($B5="",$AQ5="Lost / Closed Out"),"",_xlfn.TEXTJOIN(", ",TRUE,IF($B5="","Property Address",""),IF($AQ5="","Current Stage",""),IF($AF5="","Next Action",""),IF($AG5="","Next Action Due Date",""),IF($AH5="","Assigned Owner",""),IF($H5="","REI BlackBook Link","")))</f>
        <v/>
      </c>
      <c r="AX5" s="19">
        <f>IF($C5="","",IF(COUNTIFS($C$2:$C$1000,$C5,$AQ$2:$AQ$1000,"&lt;&gt;Lost / Closed Out")&gt;1,"Duplicate",""))</f>
        <v/>
      </c>
      <c r="AY5" s="19">
        <f>IF($B5="","",IF($AQ5="Verbal Agreement",100,IF($AQ5="Contract Sent",95,IF($AQ5="Active Negotiation",85,IF($AQ5="Offer Sent",70,IF($AQ5="Offer Preparation",60,IF($AQ5="Visit Completed — Needs Review",50,IF($AQ5="Visit Scheduled",30,IF($AQ5="Long-Term Nurture",10,IF($AQ5="Contract Signed",5,0)))))))))+IF($AK5="",0,MIN($AK5,20))+IF($AL5="Yes",5,0))</f>
        <v/>
      </c>
      <c r="AZ5" s="20" t="n">
        <v>46223</v>
      </c>
      <c r="BA5" s="20" t="n">
        <v>46223</v>
      </c>
      <c r="BB5" s="19" t="inlineStr">
        <is>
          <t>Import</t>
        </is>
      </c>
      <c r="BC5" s="19" t="inlineStr">
        <is>
          <t>Import</t>
        </is>
      </c>
      <c r="BD5" s="19">
        <f>IF($B5="","",IF($BE5&lt;&gt;"","Exception",IF($AW5&lt;&gt;"","Incomplete","OK")))</f>
        <v/>
      </c>
      <c r="BE5" s="19">
        <f>IF($B5="","",_xlfn.TEXTJOIN(" | ",TRUE,IF(AND($K5="Completed",$M5=""),"Completed visit missing Visit Notes",""),IF(AND($K5="Completed",$S5=""),"Completed visit missing Seller Motivation (or add Exception note)",""),IF(AND($AQ5="Offer Sent",OR($X5="",$AA5="")),"Offer Sent needs Approved Offer Amount + Offer Sent Date",""),IF(AND($AQ5="Active Negotiation",OR($AE5="",$AF5="",$AH5="",$AG5="")),"Active Negotiation needs Last Contact Result + Next Action + Owner + Due Date",""),IF(AND($AQ5="Contract Sent",$AT5="",$R5=""),"Contract Sent needs Contract Sent Date or File Link",""),IF(AND($AQ5="Contract Signed",$AU5=""),"Contract Signed needs Contract Signed Date",""),IF(AND($AQ5="Long-Term Nurture",OR($AG5="",$AG5&lt;=TODAY())),"Long-Term Nurture needs an exact FUTURE follow-up date",""),IF(AND($AQ5="Lost / Closed Out",OR($AR5="",$AS5="")),"Lost / Closed Out needs Final Disposition + Closeout Reason",""),IF(AND($AM5="Sent",$AO5=""),"Gift marked Sent without recorded approval",""),IF($AX5="Duplicate","Duplicate active record for this address","")))</f>
        <v/>
      </c>
      <c r="BF5" s="19" t="n"/>
      <c r="BG5" s="19" t="n"/>
    </row>
    <row r="6">
      <c r="A6" s="19" t="inlineStr">
        <is>
          <t>TVL-0005</t>
        </is>
      </c>
      <c r="B6" s="19" t="inlineStr">
        <is>
          <t>15340 Canyon 2 Rd, Guerneville, CA 95446</t>
        </is>
      </c>
      <c r="C6" s="19">
        <f>IF($B6="","",TRIM(LOWER(SUBSTITUTE(SUBSTITUTE(SUBSTITUTE(SUBSTITUTE(SUBSTITUTE($B6,",",""),".","")," apt "," "),"#","")," unit "," "))))</f>
        <v/>
      </c>
      <c r="D6" s="19" t="inlineStr">
        <is>
          <t>Jon Box</t>
        </is>
      </c>
      <c r="E6" s="19" t="inlineStr">
        <is>
          <t>(707) 481-7040</t>
        </is>
      </c>
      <c r="F6" s="19" t="n"/>
      <c r="G6" s="19" t="inlineStr">
        <is>
          <t>PPL - Property Leads</t>
        </is>
      </c>
      <c r="H6" s="19" t="n"/>
      <c r="I6" s="20" t="n">
        <v>46223</v>
      </c>
      <c r="J6" s="19" t="n"/>
      <c r="K6" s="19" t="inlineStr">
        <is>
          <t>Canceled</t>
        </is>
      </c>
      <c r="L6" s="19" t="inlineStr">
        <is>
          <t>Juan</t>
        </is>
      </c>
      <c r="M6" s="19" t="inlineStr">
        <is>
          <t>Passing on this lead.</t>
        </is>
      </c>
      <c r="N6" s="19" t="n"/>
      <c r="O6" s="19" t="n"/>
      <c r="P6" s="19" t="n"/>
      <c r="Q6" s="19" t="n"/>
      <c r="R6" s="19" t="n"/>
      <c r="S6" s="19" t="n"/>
      <c r="T6" s="19" t="n"/>
      <c r="U6" s="21" t="n"/>
      <c r="V6" s="21" t="n"/>
      <c r="W6" s="19" t="n"/>
      <c r="X6" s="21" t="n"/>
      <c r="Y6" s="19" t="n"/>
      <c r="Z6" s="19" t="n"/>
      <c r="AA6" s="19" t="n"/>
      <c r="AB6" s="19" t="n"/>
      <c r="AC6" s="21" t="n"/>
      <c r="AD6" s="19" t="n"/>
      <c r="AE6" s="19" t="n"/>
      <c r="AF6" s="19" t="n"/>
      <c r="AG6" s="19" t="n"/>
      <c r="AH6" s="19" t="n"/>
      <c r="AI6" s="19" t="n"/>
      <c r="AJ6" s="19">
        <f>IF($B6="","",IF(AND($AD6="",$BA6="",$I6=""),"",TODAY()-MAX($AD6,$BA6,$I6)))</f>
        <v/>
      </c>
      <c r="AK6" s="19">
        <f>IF($B6="","",IF($AG6="","",IF(TODAY()&gt;$AG6,TODAY()-$AG6,0)))</f>
        <v/>
      </c>
      <c r="AL6" s="19">
        <f>IF($B6="","",IF(OR($AQ6="Lost / Closed Out",$AQ6="Long-Term Nurture",$AQ6="Contract Signed"),"No",IF(MAX($AD6,$BA6,$I6)=0,"No",IF(NETWORKDAYS(MAX($AD6,$BA6,$I6),TODAY())-1&gt;=3,"Yes","No"))))</f>
        <v/>
      </c>
      <c r="AM6" s="19" t="n"/>
      <c r="AN6" s="19" t="n"/>
      <c r="AO6" s="19" t="n"/>
      <c r="AP6" s="19" t="n"/>
      <c r="AQ6" s="19" t="inlineStr">
        <is>
          <t>Lost / Closed Out</t>
        </is>
      </c>
      <c r="AR6" s="19" t="inlineStr">
        <is>
          <t>Lost</t>
        </is>
      </c>
      <c r="AS6" s="19" t="inlineStr">
        <is>
          <t>We're Passing</t>
        </is>
      </c>
      <c r="AT6" s="19" t="n"/>
      <c r="AU6" s="19" t="n"/>
      <c r="AV6" s="19" t="n"/>
      <c r="AW6" s="19">
        <f>IF(OR($B6="",$AQ6="Lost / Closed Out"),"",_xlfn.TEXTJOIN(", ",TRUE,IF($B6="","Property Address",""),IF($AQ6="","Current Stage",""),IF($AF6="","Next Action",""),IF($AG6="","Next Action Due Date",""),IF($AH6="","Assigned Owner",""),IF($H6="","REI BlackBook Link","")))</f>
        <v/>
      </c>
      <c r="AX6" s="19">
        <f>IF($C6="","",IF(COUNTIFS($C$2:$C$1000,$C6,$AQ$2:$AQ$1000,"&lt;&gt;Lost / Closed Out")&gt;1,"Duplicate",""))</f>
        <v/>
      </c>
      <c r="AY6" s="19">
        <f>IF($B6="","",IF($AQ6="Verbal Agreement",100,IF($AQ6="Contract Sent",95,IF($AQ6="Active Negotiation",85,IF($AQ6="Offer Sent",70,IF($AQ6="Offer Preparation",60,IF($AQ6="Visit Completed — Needs Review",50,IF($AQ6="Visit Scheduled",30,IF($AQ6="Long-Term Nurture",10,IF($AQ6="Contract Signed",5,0)))))))))+IF($AK6="",0,MIN($AK6,20))+IF($AL6="Yes",5,0))</f>
        <v/>
      </c>
      <c r="AZ6" s="20" t="n">
        <v>46221</v>
      </c>
      <c r="BA6" s="20" t="n">
        <v>46221</v>
      </c>
      <c r="BB6" s="19" t="inlineStr">
        <is>
          <t>Import</t>
        </is>
      </c>
      <c r="BC6" s="19" t="inlineStr">
        <is>
          <t>Import</t>
        </is>
      </c>
      <c r="BD6" s="19">
        <f>IF($B6="","",IF($BE6&lt;&gt;"","Exception",IF($AW6&lt;&gt;"","Incomplete","OK")))</f>
        <v/>
      </c>
      <c r="BE6" s="19">
        <f>IF($B6="","",_xlfn.TEXTJOIN(" | ",TRUE,IF(AND($K6="Completed",$M6=""),"Completed visit missing Visit Notes",""),IF(AND($K6="Completed",$S6=""),"Completed visit missing Seller Motivation (or add Exception note)",""),IF(AND($AQ6="Offer Sent",OR($X6="",$AA6="")),"Offer Sent needs Approved Offer Amount + Offer Sent Date",""),IF(AND($AQ6="Active Negotiation",OR($AE6="",$AF6="",$AH6="",$AG6="")),"Active Negotiation needs Last Contact Result + Next Action + Owner + Due Date",""),IF(AND($AQ6="Contract Sent",$AT6="",$R6=""),"Contract Sent needs Contract Sent Date or File Link",""),IF(AND($AQ6="Contract Signed",$AU6=""),"Contract Signed needs Contract Signed Date",""),IF(AND($AQ6="Long-Term Nurture",OR($AG6="",$AG6&lt;=TODAY())),"Long-Term Nurture needs an exact FUTURE follow-up date",""),IF(AND($AQ6="Lost / Closed Out",OR($AR6="",$AS6="")),"Lost / Closed Out needs Final Disposition + Closeout Reason",""),IF(AND($AM6="Sent",$AO6=""),"Gift marked Sent without recorded approval",""),IF($AX6="Duplicate","Duplicate active record for this address","")))</f>
        <v/>
      </c>
      <c r="BF6" s="19" t="n"/>
      <c r="BG6" s="19" t="n"/>
    </row>
    <row r="7">
      <c r="A7" s="19" t="inlineStr">
        <is>
          <t>TVL-0006</t>
        </is>
      </c>
      <c r="B7" s="19" t="inlineStr">
        <is>
          <t>18 Hampton Rd, Occidental, CA 95465</t>
        </is>
      </c>
      <c r="C7" s="19">
        <f>IF($B7="","",TRIM(LOWER(SUBSTITUTE(SUBSTITUTE(SUBSTITUTE(SUBSTITUTE(SUBSTITUTE($B7,",",""),".","")," apt "," "),"#","")," unit "," "))))</f>
        <v/>
      </c>
      <c r="D7" s="19" t="inlineStr">
        <is>
          <t>Chris J. Giro</t>
        </is>
      </c>
      <c r="E7" s="19" t="inlineStr">
        <is>
          <t>(707) 292-9001</t>
        </is>
      </c>
      <c r="F7" s="19" t="n"/>
      <c r="G7" s="19" t="inlineStr">
        <is>
          <t>PPC</t>
        </is>
      </c>
      <c r="H7" s="19" t="n"/>
      <c r="I7" s="20" t="n">
        <v>46221</v>
      </c>
      <c r="J7" s="19" t="n"/>
      <c r="K7" s="19" t="inlineStr">
        <is>
          <t>Completed</t>
        </is>
      </c>
      <c r="L7" s="19" t="inlineStr">
        <is>
          <t>Juan</t>
        </is>
      </c>
      <c r="M7" s="19" t="inlineStr">
        <is>
          <t>House is structurally failing; passing.</t>
        </is>
      </c>
      <c r="N7" s="19" t="n"/>
      <c r="O7" s="19" t="n"/>
      <c r="P7" s="19" t="n"/>
      <c r="Q7" s="19" t="n"/>
      <c r="R7" s="19" t="n"/>
      <c r="S7" s="19" t="inlineStr">
        <is>
          <t>Motivated but property condition too poor for our criteria</t>
        </is>
      </c>
      <c r="T7" s="19" t="n"/>
      <c r="U7" s="21" t="n"/>
      <c r="V7" s="21" t="n"/>
      <c r="W7" s="19" t="n"/>
      <c r="X7" s="21" t="n"/>
      <c r="Y7" s="19" t="n"/>
      <c r="Z7" s="19" t="n"/>
      <c r="AA7" s="19" t="n"/>
      <c r="AB7" s="19" t="n"/>
      <c r="AC7" s="21" t="n"/>
      <c r="AD7" s="19" t="n"/>
      <c r="AE7" s="19" t="n"/>
      <c r="AF7" s="19" t="n"/>
      <c r="AG7" s="19" t="n"/>
      <c r="AH7" s="19" t="n"/>
      <c r="AI7" s="19" t="n"/>
      <c r="AJ7" s="19">
        <f>IF($B7="","",IF(AND($AD7="",$BA7="",$I7=""),"",TODAY()-MAX($AD7,$BA7,$I7)))</f>
        <v/>
      </c>
      <c r="AK7" s="19">
        <f>IF($B7="","",IF($AG7="","",IF(TODAY()&gt;$AG7,TODAY()-$AG7,0)))</f>
        <v/>
      </c>
      <c r="AL7" s="19">
        <f>IF($B7="","",IF(OR($AQ7="Lost / Closed Out",$AQ7="Long-Term Nurture",$AQ7="Contract Signed"),"No",IF(MAX($AD7,$BA7,$I7)=0,"No",IF(NETWORKDAYS(MAX($AD7,$BA7,$I7),TODAY())-1&gt;=3,"Yes","No"))))</f>
        <v/>
      </c>
      <c r="AM7" s="19" t="n"/>
      <c r="AN7" s="19" t="n"/>
      <c r="AO7" s="19" t="n"/>
      <c r="AP7" s="19" t="n"/>
      <c r="AQ7" s="19" t="inlineStr">
        <is>
          <t>Lost / Closed Out</t>
        </is>
      </c>
      <c r="AR7" s="19" t="inlineStr">
        <is>
          <t>Lost</t>
        </is>
      </c>
      <c r="AS7" s="19" t="inlineStr">
        <is>
          <t>We're Passing — structural condition</t>
        </is>
      </c>
      <c r="AT7" s="19" t="n"/>
      <c r="AU7" s="19" t="n"/>
      <c r="AV7" s="19" t="n"/>
      <c r="AW7" s="19">
        <f>IF(OR($B7="",$AQ7="Lost / Closed Out"),"",_xlfn.TEXTJOIN(", ",TRUE,IF($B7="","Property Address",""),IF($AQ7="","Current Stage",""),IF($AF7="","Next Action",""),IF($AG7="","Next Action Due Date",""),IF($AH7="","Assigned Owner",""),IF($H7="","REI BlackBook Link","")))</f>
        <v/>
      </c>
      <c r="AX7" s="19">
        <f>IF($C7="","",IF(COUNTIFS($C$2:$C$1000,$C7,$AQ$2:$AQ$1000,"&lt;&gt;Lost / Closed Out")&gt;1,"Duplicate",""))</f>
        <v/>
      </c>
      <c r="AY7" s="19">
        <f>IF($B7="","",IF($AQ7="Verbal Agreement",100,IF($AQ7="Contract Sent",95,IF($AQ7="Active Negotiation",85,IF($AQ7="Offer Sent",70,IF($AQ7="Offer Preparation",60,IF($AQ7="Visit Completed — Needs Review",50,IF($AQ7="Visit Scheduled",30,IF($AQ7="Long-Term Nurture",10,IF($AQ7="Contract Signed",5,0)))))))))+IF($AK7="",0,MIN($AK7,20))+IF($AL7="Yes",5,0))</f>
        <v/>
      </c>
      <c r="AZ7" s="20" t="n">
        <v>46219</v>
      </c>
      <c r="BA7" s="20" t="n">
        <v>46221</v>
      </c>
      <c r="BB7" s="19" t="inlineStr">
        <is>
          <t>Import</t>
        </is>
      </c>
      <c r="BC7" s="19" t="inlineStr">
        <is>
          <t>Import</t>
        </is>
      </c>
      <c r="BD7" s="19">
        <f>IF($B7="","",IF($BE7&lt;&gt;"","Exception",IF($AW7&lt;&gt;"","Incomplete","OK")))</f>
        <v/>
      </c>
      <c r="BE7" s="19">
        <f>IF($B7="","",_xlfn.TEXTJOIN(" | ",TRUE,IF(AND($K7="Completed",$M7=""),"Completed visit missing Visit Notes",""),IF(AND($K7="Completed",$S7=""),"Completed visit missing Seller Motivation (or add Exception note)",""),IF(AND($AQ7="Offer Sent",OR($X7="",$AA7="")),"Offer Sent needs Approved Offer Amount + Offer Sent Date",""),IF(AND($AQ7="Active Negotiation",OR($AE7="",$AF7="",$AH7="",$AG7="")),"Active Negotiation needs Last Contact Result + Next Action + Owner + Due Date",""),IF(AND($AQ7="Contract Sent",$AT7="",$R7=""),"Contract Sent needs Contract Sent Date or File Link",""),IF(AND($AQ7="Contract Signed",$AU7=""),"Contract Signed needs Contract Signed Date",""),IF(AND($AQ7="Long-Term Nurture",OR($AG7="",$AG7&lt;=TODAY())),"Long-Term Nurture needs an exact FUTURE follow-up date",""),IF(AND($AQ7="Lost / Closed Out",OR($AR7="",$AS7="")),"Lost / Closed Out needs Final Disposition + Closeout Reason",""),IF(AND($AM7="Sent",$AO7=""),"Gift marked Sent without recorded approval",""),IF($AX7="Duplicate","Duplicate active record for this address","")))</f>
        <v/>
      </c>
      <c r="BF7" s="19" t="n"/>
      <c r="BG7" s="19" t="n"/>
    </row>
    <row r="8">
      <c r="A8" s="19" t="inlineStr">
        <is>
          <t>TVL-0007</t>
        </is>
      </c>
      <c r="B8" s="19" t="inlineStr">
        <is>
          <t>4107 Randolph Ave, Oakland, CA 94602</t>
        </is>
      </c>
      <c r="C8" s="19">
        <f>IF($B8="","",TRIM(LOWER(SUBSTITUTE(SUBSTITUTE(SUBSTITUTE(SUBSTITUTE(SUBSTITUTE($B8,",",""),".","")," apt "," "),"#","")," unit "," "))))</f>
        <v/>
      </c>
      <c r="D8" s="19" t="inlineStr">
        <is>
          <t>Yvette D Rose</t>
        </is>
      </c>
      <c r="E8" s="19" t="inlineStr">
        <is>
          <t>(510) 457-6727</t>
        </is>
      </c>
      <c r="F8" s="19" t="n"/>
      <c r="G8" s="19" t="inlineStr">
        <is>
          <t>TV</t>
        </is>
      </c>
      <c r="H8" s="19" t="n"/>
      <c r="I8" s="20" t="n">
        <v>46221</v>
      </c>
      <c r="J8" s="19" t="n"/>
      <c r="K8" s="19" t="inlineStr">
        <is>
          <t>Completed</t>
        </is>
      </c>
      <c r="L8" s="19" t="n"/>
      <c r="M8" s="19" t="inlineStr">
        <is>
          <t>Heavily tenant-occupied; City of Oakland code violations.</t>
        </is>
      </c>
      <c r="N8" s="19" t="n"/>
      <c r="O8" s="19" t="inlineStr">
        <is>
          <t>Tenant-Occupied</t>
        </is>
      </c>
      <c r="P8" s="19" t="n"/>
      <c r="Q8" s="19" t="n"/>
      <c r="R8" s="19" t="n"/>
      <c r="S8" s="19" t="inlineStr">
        <is>
          <t>Good location but tenant/code issues; passing</t>
        </is>
      </c>
      <c r="T8" s="19" t="n"/>
      <c r="U8" s="21" t="n"/>
      <c r="V8" s="21" t="n"/>
      <c r="W8" s="19" t="n"/>
      <c r="X8" s="21" t="n"/>
      <c r="Y8" s="19" t="n"/>
      <c r="Z8" s="19" t="n"/>
      <c r="AA8" s="19" t="n"/>
      <c r="AB8" s="19" t="n"/>
      <c r="AC8" s="21" t="n"/>
      <c r="AD8" s="19" t="n"/>
      <c r="AE8" s="19" t="n"/>
      <c r="AF8" s="19" t="n"/>
      <c r="AG8" s="19" t="n"/>
      <c r="AH8" s="19" t="n"/>
      <c r="AI8" s="19" t="inlineStr">
        <is>
          <t>Tenant</t>
        </is>
      </c>
      <c r="AJ8" s="19">
        <f>IF($B8="","",IF(AND($AD8="",$BA8="",$I8=""),"",TODAY()-MAX($AD8,$BA8,$I8)))</f>
        <v/>
      </c>
      <c r="AK8" s="19">
        <f>IF($B8="","",IF($AG8="","",IF(TODAY()&gt;$AG8,TODAY()-$AG8,0)))</f>
        <v/>
      </c>
      <c r="AL8" s="19">
        <f>IF($B8="","",IF(OR($AQ8="Lost / Closed Out",$AQ8="Long-Term Nurture",$AQ8="Contract Signed"),"No",IF(MAX($AD8,$BA8,$I8)=0,"No",IF(NETWORKDAYS(MAX($AD8,$BA8,$I8),TODAY())-1&gt;=3,"Yes","No"))))</f>
        <v/>
      </c>
      <c r="AM8" s="19" t="n"/>
      <c r="AN8" s="19" t="n"/>
      <c r="AO8" s="19" t="n"/>
      <c r="AP8" s="19" t="n"/>
      <c r="AQ8" s="19" t="inlineStr">
        <is>
          <t>Lost / Closed Out</t>
        </is>
      </c>
      <c r="AR8" s="19" t="inlineStr">
        <is>
          <t>Lost</t>
        </is>
      </c>
      <c r="AS8" s="19" t="inlineStr">
        <is>
          <t>We're Passing — tenant-occupied + code violations</t>
        </is>
      </c>
      <c r="AT8" s="19" t="n"/>
      <c r="AU8" s="19" t="n"/>
      <c r="AV8" s="19" t="n"/>
      <c r="AW8" s="19">
        <f>IF(OR($B8="",$AQ8="Lost / Closed Out"),"",_xlfn.TEXTJOIN(", ",TRUE,IF($B8="","Property Address",""),IF($AQ8="","Current Stage",""),IF($AF8="","Next Action",""),IF($AG8="","Next Action Due Date",""),IF($AH8="","Assigned Owner",""),IF($H8="","REI BlackBook Link","")))</f>
        <v/>
      </c>
      <c r="AX8" s="19">
        <f>IF($C8="","",IF(COUNTIFS($C$2:$C$1000,$C8,$AQ$2:$AQ$1000,"&lt;&gt;Lost / Closed Out")&gt;1,"Duplicate",""))</f>
        <v/>
      </c>
      <c r="AY8" s="19">
        <f>IF($B8="","",IF($AQ8="Verbal Agreement",100,IF($AQ8="Contract Sent",95,IF($AQ8="Active Negotiation",85,IF($AQ8="Offer Sent",70,IF($AQ8="Offer Preparation",60,IF($AQ8="Visit Completed — Needs Review",50,IF($AQ8="Visit Scheduled",30,IF($AQ8="Long-Term Nurture",10,IF($AQ8="Contract Signed",5,0)))))))))+IF($AK8="",0,MIN($AK8,20))+IF($AL8="Yes",5,0))</f>
        <v/>
      </c>
      <c r="AZ8" s="20" t="n">
        <v>46219</v>
      </c>
      <c r="BA8" s="20" t="n">
        <v>46220</v>
      </c>
      <c r="BB8" s="19" t="inlineStr">
        <is>
          <t>Import</t>
        </is>
      </c>
      <c r="BC8" s="19" t="inlineStr">
        <is>
          <t>Import</t>
        </is>
      </c>
      <c r="BD8" s="19">
        <f>IF($B8="","",IF($BE8&lt;&gt;"","Exception",IF($AW8&lt;&gt;"","Incomplete","OK")))</f>
        <v/>
      </c>
      <c r="BE8" s="19">
        <f>IF($B8="","",_xlfn.TEXTJOIN(" | ",TRUE,IF(AND($K8="Completed",$M8=""),"Completed visit missing Visit Notes",""),IF(AND($K8="Completed",$S8=""),"Completed visit missing Seller Motivation (or add Exception note)",""),IF(AND($AQ8="Offer Sent",OR($X8="",$AA8="")),"Offer Sent needs Approved Offer Amount + Offer Sent Date",""),IF(AND($AQ8="Active Negotiation",OR($AE8="",$AF8="",$AH8="",$AG8="")),"Active Negotiation needs Last Contact Result + Next Action + Owner + Due Date",""),IF(AND($AQ8="Contract Sent",$AT8="",$R8=""),"Contract Sent needs Contract Sent Date or File Link",""),IF(AND($AQ8="Contract Signed",$AU8=""),"Contract Signed needs Contract Signed Date",""),IF(AND($AQ8="Long-Term Nurture",OR($AG8="",$AG8&lt;=TODAY())),"Long-Term Nurture needs an exact FUTURE follow-up date",""),IF(AND($AQ8="Lost / Closed Out",OR($AR8="",$AS8="")),"Lost / Closed Out needs Final Disposition + Closeout Reason",""),IF(AND($AM8="Sent",$AO8=""),"Gift marked Sent without recorded approval",""),IF($AX8="Duplicate","Duplicate active record for this address","")))</f>
        <v/>
      </c>
      <c r="BF8" s="19" t="n"/>
      <c r="BG8" s="19" t="n"/>
    </row>
    <row r="9">
      <c r="A9" s="19" t="inlineStr">
        <is>
          <t>TVL-0008</t>
        </is>
      </c>
      <c r="B9" s="19" t="inlineStr">
        <is>
          <t>16125 Bittner Rd, Occidental, CA 95465</t>
        </is>
      </c>
      <c r="C9" s="19">
        <f>IF($B9="","",TRIM(LOWER(SUBSTITUTE(SUBSTITUTE(SUBSTITUTE(SUBSTITUTE(SUBSTITUTE($B9,",",""),".","")," apt "," "),"#","")," unit "," "))))</f>
        <v/>
      </c>
      <c r="D9" s="19" t="inlineStr">
        <is>
          <t>Liam</t>
        </is>
      </c>
      <c r="E9" s="19" t="inlineStr">
        <is>
          <t>(530) 545-1943</t>
        </is>
      </c>
      <c r="F9" s="19" t="n"/>
      <c r="G9" s="19" t="inlineStr">
        <is>
          <t>PPL - Property Leads</t>
        </is>
      </c>
      <c r="H9" s="19" t="n"/>
      <c r="I9" s="20" t="n">
        <v>46218</v>
      </c>
      <c r="J9" s="19" t="n"/>
      <c r="K9" s="19" t="inlineStr">
        <is>
          <t>Canceled</t>
        </is>
      </c>
      <c r="L9" s="19" t="n"/>
      <c r="M9" s="19" t="inlineStr">
        <is>
          <t>Internal cancellation of confirmed visit; passing.</t>
        </is>
      </c>
      <c r="N9" s="19" t="n"/>
      <c r="O9" s="19" t="n"/>
      <c r="P9" s="19" t="n"/>
      <c r="Q9" s="19" t="n"/>
      <c r="R9" s="19" t="n"/>
      <c r="S9" s="19" t="n"/>
      <c r="T9" s="19" t="n"/>
      <c r="U9" s="21" t="n"/>
      <c r="V9" s="21" t="n"/>
      <c r="W9" s="19" t="n"/>
      <c r="X9" s="21" t="n"/>
      <c r="Y9" s="19" t="n"/>
      <c r="Z9" s="19" t="n"/>
      <c r="AA9" s="19" t="n"/>
      <c r="AB9" s="19" t="n"/>
      <c r="AC9" s="21" t="n"/>
      <c r="AD9" s="19" t="n"/>
      <c r="AE9" s="19" t="n"/>
      <c r="AF9" s="19" t="n"/>
      <c r="AG9" s="19" t="n"/>
      <c r="AH9" s="19" t="n"/>
      <c r="AI9" s="19" t="n"/>
      <c r="AJ9" s="19">
        <f>IF($B9="","",IF(AND($AD9="",$BA9="",$I9=""),"",TODAY()-MAX($AD9,$BA9,$I9)))</f>
        <v/>
      </c>
      <c r="AK9" s="19">
        <f>IF($B9="","",IF($AG9="","",IF(TODAY()&gt;$AG9,TODAY()-$AG9,0)))</f>
        <v/>
      </c>
      <c r="AL9" s="19">
        <f>IF($B9="","",IF(OR($AQ9="Lost / Closed Out",$AQ9="Long-Term Nurture",$AQ9="Contract Signed"),"No",IF(MAX($AD9,$BA9,$I9)=0,"No",IF(NETWORKDAYS(MAX($AD9,$BA9,$I9),TODAY())-1&gt;=3,"Yes","No"))))</f>
        <v/>
      </c>
      <c r="AM9" s="19" t="n"/>
      <c r="AN9" s="19" t="n"/>
      <c r="AO9" s="19" t="n"/>
      <c r="AP9" s="19" t="n"/>
      <c r="AQ9" s="19" t="inlineStr">
        <is>
          <t>Lost / Closed Out</t>
        </is>
      </c>
      <c r="AR9" s="19" t="inlineStr">
        <is>
          <t>Lost</t>
        </is>
      </c>
      <c r="AS9" s="19" t="inlineStr">
        <is>
          <t>We're Passing — internal cancellation</t>
        </is>
      </c>
      <c r="AT9" s="19" t="n"/>
      <c r="AU9" s="19" t="n"/>
      <c r="AV9" s="19" t="n"/>
      <c r="AW9" s="19">
        <f>IF(OR($B9="",$AQ9="Lost / Closed Out"),"",_xlfn.TEXTJOIN(", ",TRUE,IF($B9="","Property Address",""),IF($AQ9="","Current Stage",""),IF($AF9="","Next Action",""),IF($AG9="","Next Action Due Date",""),IF($AH9="","Assigned Owner",""),IF($H9="","REI BlackBook Link","")))</f>
        <v/>
      </c>
      <c r="AX9" s="19">
        <f>IF($C9="","",IF(COUNTIFS($C$2:$C$1000,$C9,$AQ$2:$AQ$1000,"&lt;&gt;Lost / Closed Out")&gt;1,"Duplicate",""))</f>
        <v/>
      </c>
      <c r="AY9" s="19">
        <f>IF($B9="","",IF($AQ9="Verbal Agreement",100,IF($AQ9="Contract Sent",95,IF($AQ9="Active Negotiation",85,IF($AQ9="Offer Sent",70,IF($AQ9="Offer Preparation",60,IF($AQ9="Visit Completed — Needs Review",50,IF($AQ9="Visit Scheduled",30,IF($AQ9="Long-Term Nurture",10,IF($AQ9="Contract Signed",5,0)))))))))+IF($AK9="",0,MIN($AK9,20))+IF($AL9="Yes",5,0))</f>
        <v/>
      </c>
      <c r="AZ9" s="20" t="n">
        <v>46218</v>
      </c>
      <c r="BA9" s="20" t="n">
        <v>46218</v>
      </c>
      <c r="BB9" s="19" t="inlineStr">
        <is>
          <t>Import</t>
        </is>
      </c>
      <c r="BC9" s="19" t="inlineStr">
        <is>
          <t>Import</t>
        </is>
      </c>
      <c r="BD9" s="19">
        <f>IF($B9="","",IF($BE9&lt;&gt;"","Exception",IF($AW9&lt;&gt;"","Incomplete","OK")))</f>
        <v/>
      </c>
      <c r="BE9" s="19">
        <f>IF($B9="","",_xlfn.TEXTJOIN(" | ",TRUE,IF(AND($K9="Completed",$M9=""),"Completed visit missing Visit Notes",""),IF(AND($K9="Completed",$S9=""),"Completed visit missing Seller Motivation (or add Exception note)",""),IF(AND($AQ9="Offer Sent",OR($X9="",$AA9="")),"Offer Sent needs Approved Offer Amount + Offer Sent Date",""),IF(AND($AQ9="Active Negotiation",OR($AE9="",$AF9="",$AH9="",$AG9="")),"Active Negotiation needs Last Contact Result + Next Action + Owner + Due Date",""),IF(AND($AQ9="Contract Sent",$AT9="",$R9=""),"Contract Sent needs Contract Sent Date or File Link",""),IF(AND($AQ9="Contract Signed",$AU9=""),"Contract Signed needs Contract Signed Date",""),IF(AND($AQ9="Long-Term Nurture",OR($AG9="",$AG9&lt;=TODAY())),"Long-Term Nurture needs an exact FUTURE follow-up date",""),IF(AND($AQ9="Lost / Closed Out",OR($AR9="",$AS9="")),"Lost / Closed Out needs Final Disposition + Closeout Reason",""),IF(AND($AM9="Sent",$AO9=""),"Gift marked Sent without recorded approval",""),IF($AX9="Duplicate","Duplicate active record for this address","")))</f>
        <v/>
      </c>
      <c r="BF9" s="19" t="n"/>
      <c r="BG9" s="19" t="n"/>
    </row>
    <row r="10">
      <c r="A10" s="19" t="inlineStr">
        <is>
          <t>TVL-0009</t>
        </is>
      </c>
      <c r="B10" s="19" t="inlineStr">
        <is>
          <t>39224 Guardino Dr Apt 208, Fremont, CA 94538</t>
        </is>
      </c>
      <c r="C10" s="19">
        <f>IF($B10="","",TRIM(LOWER(SUBSTITUTE(SUBSTITUTE(SUBSTITUTE(SUBSTITUTE(SUBSTITUTE($B10,",",""),".","")," apt "," "),"#","")," unit "," "))))</f>
        <v/>
      </c>
      <c r="D10" s="19" t="inlineStr">
        <is>
          <t>James White</t>
        </is>
      </c>
      <c r="E10" s="19" t="inlineStr">
        <is>
          <t>(209) 221-1240</t>
        </is>
      </c>
      <c r="F10" s="19" t="n"/>
      <c r="G10" s="19" t="inlineStr">
        <is>
          <t>PPL - Property Leads</t>
        </is>
      </c>
      <c r="H10" s="19" t="n"/>
      <c r="I10" s="20" t="n">
        <v>46217</v>
      </c>
      <c r="J10" s="19" t="n"/>
      <c r="K10" s="19" t="inlineStr">
        <is>
          <t>Completed</t>
        </is>
      </c>
      <c r="L10" s="19" t="inlineStr">
        <is>
          <t>Cesar</t>
        </is>
      </c>
      <c r="M10" s="19" t="inlineStr">
        <is>
          <t>Offer emailed; James (trustee) + sister Lisa reviewing together. Cherry following up.</t>
        </is>
      </c>
      <c r="N10" s="19" t="n"/>
      <c r="O10" s="19" t="n"/>
      <c r="P10" s="19" t="n"/>
      <c r="Q10" s="19" t="n"/>
      <c r="R10" s="19" t="n"/>
      <c r="S10" s="19" t="inlineStr">
        <is>
          <t>Trustee sale; reviewing offer with family</t>
        </is>
      </c>
      <c r="T10" s="19" t="n"/>
      <c r="U10" s="21" t="n"/>
      <c r="V10" s="21" t="n"/>
      <c r="W10" s="19" t="n"/>
      <c r="X10" s="21" t="n"/>
      <c r="Y10" s="19" t="inlineStr">
        <is>
          <t>Sent</t>
        </is>
      </c>
      <c r="Z10" s="19" t="n"/>
      <c r="AA10" s="19" t="n"/>
      <c r="AB10" s="19" t="n"/>
      <c r="AC10" s="21" t="n"/>
      <c r="AD10" s="20" t="n">
        <v>46218</v>
      </c>
      <c r="AE10" s="19" t="inlineStr">
        <is>
          <t>Cherry emailing offer breakdown; family reviewing</t>
        </is>
      </c>
      <c r="AF10" s="19" t="inlineStr">
        <is>
          <t>Follow up on offer with James/Lisa</t>
        </is>
      </c>
      <c r="AG10" s="20" t="n">
        <v>46220</v>
      </c>
      <c r="AH10" s="19" t="inlineStr">
        <is>
          <t>Cherry</t>
        </is>
      </c>
      <c r="AI10" s="19" t="inlineStr">
        <is>
          <t>Family</t>
        </is>
      </c>
      <c r="AJ10" s="19">
        <f>IF($B10="","",IF(AND($AD10="",$BA10="",$I10=""),"",TODAY()-MAX($AD10,$BA10,$I10)))</f>
        <v/>
      </c>
      <c r="AK10" s="19">
        <f>IF($B10="","",IF($AG10="","",IF(TODAY()&gt;$AG10,TODAY()-$AG10,0)))</f>
        <v/>
      </c>
      <c r="AL10" s="19">
        <f>IF($B10="","",IF(OR($AQ10="Lost / Closed Out",$AQ10="Long-Term Nurture",$AQ10="Contract Signed"),"No",IF(MAX($AD10,$BA10,$I10)=0,"No",IF(NETWORKDAYS(MAX($AD10,$BA10,$I10),TODAY())-1&gt;=3,"Yes","No"))))</f>
        <v/>
      </c>
      <c r="AM10" s="19" t="n"/>
      <c r="AN10" s="19" t="n"/>
      <c r="AO10" s="19" t="n"/>
      <c r="AP10" s="19" t="n"/>
      <c r="AQ10" s="19" t="inlineStr">
        <is>
          <t>Offer Sent</t>
        </is>
      </c>
      <c r="AR10" s="19" t="n"/>
      <c r="AS10" s="19" t="n"/>
      <c r="AT10" s="19" t="n"/>
      <c r="AU10" s="19" t="n"/>
      <c r="AV10" s="19" t="n"/>
      <c r="AW10" s="19">
        <f>IF(OR($B10="",$AQ10="Lost / Closed Out"),"",_xlfn.TEXTJOIN(", ",TRUE,IF($B10="","Property Address",""),IF($AQ10="","Current Stage",""),IF($AF10="","Next Action",""),IF($AG10="","Next Action Due Date",""),IF($AH10="","Assigned Owner",""),IF($H10="","REI BlackBook Link","")))</f>
        <v/>
      </c>
      <c r="AX10" s="19">
        <f>IF($C10="","",IF(COUNTIFS($C$2:$C$1000,$C10,$AQ$2:$AQ$1000,"&lt;&gt;Lost / Closed Out")&gt;1,"Duplicate",""))</f>
        <v/>
      </c>
      <c r="AY10" s="19">
        <f>IF($B10="","",IF($AQ10="Verbal Agreement",100,IF($AQ10="Contract Sent",95,IF($AQ10="Active Negotiation",85,IF($AQ10="Offer Sent",70,IF($AQ10="Offer Preparation",60,IF($AQ10="Visit Completed — Needs Review",50,IF($AQ10="Visit Scheduled",30,IF($AQ10="Long-Term Nurture",10,IF($AQ10="Contract Signed",5,0)))))))))+IF($AK10="",0,MIN($AK10,20))+IF($AL10="Yes",5,0))</f>
        <v/>
      </c>
      <c r="AZ10" s="20" t="n">
        <v>46217</v>
      </c>
      <c r="BA10" s="20" t="n">
        <v>46218</v>
      </c>
      <c r="BB10" s="19" t="inlineStr">
        <is>
          <t>Import</t>
        </is>
      </c>
      <c r="BC10" s="19" t="inlineStr">
        <is>
          <t>Import</t>
        </is>
      </c>
      <c r="BD10" s="19">
        <f>IF($B10="","",IF($BE10&lt;&gt;"","Exception",IF($AW10&lt;&gt;"","Incomplete","OK")))</f>
        <v/>
      </c>
      <c r="BE10" s="19">
        <f>IF($B10="","",_xlfn.TEXTJOIN(" | ",TRUE,IF(AND($K10="Completed",$M10=""),"Completed visit missing Visit Notes",""),IF(AND($K10="Completed",$S10=""),"Completed visit missing Seller Motivation (or add Exception note)",""),IF(AND($AQ10="Offer Sent",OR($X10="",$AA10="")),"Offer Sent needs Approved Offer Amount + Offer Sent Date",""),IF(AND($AQ10="Active Negotiation",OR($AE10="",$AF10="",$AH10="",$AG10="")),"Active Negotiation needs Last Contact Result + Next Action + Owner + Due Date",""),IF(AND($AQ10="Contract Sent",$AT10="",$R10=""),"Contract Sent needs Contract Sent Date or File Link",""),IF(AND($AQ10="Contract Signed",$AU10=""),"Contract Signed needs Contract Signed Date",""),IF(AND($AQ10="Long-Term Nurture",OR($AG10="",$AG10&lt;=TODAY())),"Long-Term Nurture needs an exact FUTURE follow-up date",""),IF(AND($AQ10="Lost / Closed Out",OR($AR10="",$AS10="")),"Lost / Closed Out needs Final Disposition + Closeout Reason",""),IF(AND($AM10="Sent",$AO10=""),"Gift marked Sent without recorded approval",""),IF($AX10="Duplicate","Duplicate active record for this address","")))</f>
        <v/>
      </c>
      <c r="BF10" s="19" t="inlineStr">
        <is>
          <t>Yes</t>
        </is>
      </c>
      <c r="BG10" s="19" t="n"/>
    </row>
    <row r="11">
      <c r="A11" s="19" t="inlineStr">
        <is>
          <t>TVL-0010</t>
        </is>
      </c>
      <c r="B11" s="19" t="inlineStr">
        <is>
          <t>1323 Oxford St, Berkeley, CA 94709</t>
        </is>
      </c>
      <c r="C11" s="19">
        <f>IF($B11="","",TRIM(LOWER(SUBSTITUTE(SUBSTITUTE(SUBSTITUTE(SUBSTITUTE(SUBSTITUTE($B11,",",""),".","")," apt "," "),"#","")," unit "," "))))</f>
        <v/>
      </c>
      <c r="D11" s="19" t="inlineStr">
        <is>
          <t>Mark Lempert</t>
        </is>
      </c>
      <c r="E11" s="19" t="inlineStr">
        <is>
          <t>(510) 816-1221</t>
        </is>
      </c>
      <c r="F11" s="19" t="n"/>
      <c r="G11" s="19" t="inlineStr">
        <is>
          <t>Direct Mail - Postcard</t>
        </is>
      </c>
      <c r="H11" s="19" t="n"/>
      <c r="I11" s="20" t="n">
        <v>46216</v>
      </c>
      <c r="J11" s="19" t="n"/>
      <c r="K11" s="19" t="inlineStr">
        <is>
          <t>Completed</t>
        </is>
      </c>
      <c r="L11" s="19" t="inlineStr">
        <is>
          <t>Cesar</t>
        </is>
      </c>
      <c r="M11" s="19" t="inlineStr">
        <is>
          <t>SERVICE FAILURE: walkthrough done 7/13 but no offer ever sent; seller displeased.</t>
        </is>
      </c>
      <c r="N11" s="19" t="n"/>
      <c r="O11" s="19" t="n"/>
      <c r="P11" s="19" t="n"/>
      <c r="Q11" s="19" t="n"/>
      <c r="R11" s="19" t="n"/>
      <c r="S11" s="19" t="inlineStr">
        <is>
          <t>Was open to offer; lost due to our delay/no-offer</t>
        </is>
      </c>
      <c r="T11" s="19" t="n"/>
      <c r="U11" s="21" t="n"/>
      <c r="V11" s="21" t="n"/>
      <c r="W11" s="19" t="n"/>
      <c r="X11" s="21" t="n"/>
      <c r="Y11" s="19" t="n"/>
      <c r="Z11" s="19" t="n"/>
      <c r="AA11" s="19" t="n"/>
      <c r="AB11" s="19" t="n"/>
      <c r="AC11" s="21" t="n"/>
      <c r="AD11" s="19" t="n"/>
      <c r="AE11" s="19" t="n"/>
      <c r="AF11" s="19" t="n"/>
      <c r="AG11" s="19" t="n"/>
      <c r="AH11" s="19" t="n"/>
      <c r="AI11" s="19" t="inlineStr">
        <is>
          <t>Documents</t>
        </is>
      </c>
      <c r="AJ11" s="19">
        <f>IF($B11="","",IF(AND($AD11="",$BA11="",$I11=""),"",TODAY()-MAX($AD11,$BA11,$I11)))</f>
        <v/>
      </c>
      <c r="AK11" s="19">
        <f>IF($B11="","",IF($AG11="","",IF(TODAY()&gt;$AG11,TODAY()-$AG11,0)))</f>
        <v/>
      </c>
      <c r="AL11" s="19">
        <f>IF($B11="","",IF(OR($AQ11="Lost / Closed Out",$AQ11="Long-Term Nurture",$AQ11="Contract Signed"),"No",IF(MAX($AD11,$BA11,$I11)=0,"No",IF(NETWORKDAYS(MAX($AD11,$BA11,$I11),TODAY())-1&gt;=3,"Yes","No"))))</f>
        <v/>
      </c>
      <c r="AM11" s="19" t="n"/>
      <c r="AN11" s="19" t="n"/>
      <c r="AO11" s="19" t="n"/>
      <c r="AP11" s="19" t="n"/>
      <c r="AQ11" s="19" t="inlineStr">
        <is>
          <t>Lost / Closed Out</t>
        </is>
      </c>
      <c r="AR11" s="19" t="inlineStr">
        <is>
          <t>Lost</t>
        </is>
      </c>
      <c r="AS11" s="19" t="inlineStr">
        <is>
          <t>Did Not Proceed — service failure (no offer sent)</t>
        </is>
      </c>
      <c r="AT11" s="19" t="n"/>
      <c r="AU11" s="19" t="n"/>
      <c r="AV11" s="19" t="n"/>
      <c r="AW11" s="19">
        <f>IF(OR($B11="",$AQ11="Lost / Closed Out"),"",_xlfn.TEXTJOIN(", ",TRUE,IF($B11="","Property Address",""),IF($AQ11="","Current Stage",""),IF($AF11="","Next Action",""),IF($AG11="","Next Action Due Date",""),IF($AH11="","Assigned Owner",""),IF($H11="","REI BlackBook Link","")))</f>
        <v/>
      </c>
      <c r="AX11" s="19">
        <f>IF($C11="","",IF(COUNTIFS($C$2:$C$1000,$C11,$AQ$2:$AQ$1000,"&lt;&gt;Lost / Closed Out")&gt;1,"Duplicate",""))</f>
        <v/>
      </c>
      <c r="AY11" s="19">
        <f>IF($B11="","",IF($AQ11="Verbal Agreement",100,IF($AQ11="Contract Sent",95,IF($AQ11="Active Negotiation",85,IF($AQ11="Offer Sent",70,IF($AQ11="Offer Preparation",60,IF($AQ11="Visit Completed — Needs Review",50,IF($AQ11="Visit Scheduled",30,IF($AQ11="Long-Term Nurture",10,IF($AQ11="Contract Signed",5,0)))))))))+IF($AK11="",0,MIN($AK11,20))+IF($AL11="Yes",5,0))</f>
        <v/>
      </c>
      <c r="AZ11" s="20" t="n">
        <v>46216</v>
      </c>
      <c r="BA11" s="20" t="n">
        <v>46218</v>
      </c>
      <c r="BB11" s="19" t="inlineStr">
        <is>
          <t>Import</t>
        </is>
      </c>
      <c r="BC11" s="19" t="inlineStr">
        <is>
          <t>Import</t>
        </is>
      </c>
      <c r="BD11" s="19">
        <f>IF($B11="","",IF($BE11&lt;&gt;"","Exception",IF($AW11&lt;&gt;"","Incomplete","OK")))</f>
        <v/>
      </c>
      <c r="BE11" s="19">
        <f>IF($B11="","",_xlfn.TEXTJOIN(" | ",TRUE,IF(AND($K11="Completed",$M11=""),"Completed visit missing Visit Notes",""),IF(AND($K11="Completed",$S11=""),"Completed visit missing Seller Motivation (or add Exception note)",""),IF(AND($AQ11="Offer Sent",OR($X11="",$AA11="")),"Offer Sent needs Approved Offer Amount + Offer Sent Date",""),IF(AND($AQ11="Active Negotiation",OR($AE11="",$AF11="",$AH11="",$AG11="")),"Active Negotiation needs Last Contact Result + Next Action + Owner + Due Date",""),IF(AND($AQ11="Contract Sent",$AT11="",$R11=""),"Contract Sent needs Contract Sent Date or File Link",""),IF(AND($AQ11="Contract Signed",$AU11=""),"Contract Signed needs Contract Signed Date",""),IF(AND($AQ11="Long-Term Nurture",OR($AG11="",$AG11&lt;=TODAY())),"Long-Term Nurture needs an exact FUTURE follow-up date",""),IF(AND($AQ11="Lost / Closed Out",OR($AR11="",$AS11="")),"Lost / Closed Out needs Final Disposition + Closeout Reason",""),IF(AND($AM11="Sent",$AO11=""),"Gift marked Sent without recorded approval",""),IF($AX11="Duplicate","Duplicate active record for this address","")))</f>
        <v/>
      </c>
      <c r="BF11" s="19" t="n"/>
      <c r="BG11" s="19" t="n"/>
    </row>
    <row r="12">
      <c r="A12" s="19" t="inlineStr">
        <is>
          <t>TEST-01</t>
        </is>
      </c>
      <c r="B12" s="19" t="inlineStr">
        <is>
          <t>100 Test Verbal Ln, Testville, CA 90001</t>
        </is>
      </c>
      <c r="C12" s="19">
        <f>IF($B12="","",TRIM(LOWER(SUBSTITUTE(SUBSTITUTE(SUBSTITUTE(SUBSTITUTE(SUBSTITUTE($B12,",",""),".","")," apt "," "),"#","")," unit "," "))))</f>
        <v/>
      </c>
      <c r="D12" s="19" t="inlineStr">
        <is>
          <t>Val Verbal</t>
        </is>
      </c>
      <c r="E12" s="19" t="inlineStr">
        <is>
          <t>(000) 000-0001</t>
        </is>
      </c>
      <c r="F12" s="19" t="n"/>
      <c r="G12" s="19" t="inlineStr">
        <is>
          <t>PPC</t>
        </is>
      </c>
      <c r="H12" s="19" t="inlineStr">
        <is>
          <t>https://app.reiblackbook.com/lead/test01</t>
        </is>
      </c>
      <c r="I12" s="20" t="n">
        <v>46221</v>
      </c>
      <c r="J12" s="19" t="n"/>
      <c r="K12" s="19" t="inlineStr">
        <is>
          <t>Completed</t>
        </is>
      </c>
      <c r="L12" s="19" t="inlineStr">
        <is>
          <t>Juan</t>
        </is>
      </c>
      <c r="M12" s="19" t="inlineStr">
        <is>
          <t>Great condition; seller keen.</t>
        </is>
      </c>
      <c r="N12" s="19" t="n"/>
      <c r="O12" s="19" t="n"/>
      <c r="P12" s="19" t="n"/>
      <c r="Q12" s="19" t="n"/>
      <c r="R12" s="19" t="n"/>
      <c r="S12" s="19" t="inlineStr">
        <is>
          <t>Relocating for job — motivated</t>
        </is>
      </c>
      <c r="T12" s="19" t="n"/>
      <c r="U12" s="21" t="n"/>
      <c r="V12" s="21" t="n"/>
      <c r="W12" s="19" t="n"/>
      <c r="X12" s="21" t="n">
        <v>640000</v>
      </c>
      <c r="Y12" s="19" t="inlineStr">
        <is>
          <t>Accepted</t>
        </is>
      </c>
      <c r="Z12" s="19" t="n"/>
      <c r="AA12" s="20" t="n">
        <v>46222</v>
      </c>
      <c r="AB12" s="19" t="n"/>
      <c r="AC12" s="21" t="n"/>
      <c r="AD12" s="20" t="n">
        <v>46224</v>
      </c>
      <c r="AE12" s="19" t="inlineStr">
        <is>
          <t>Seller verbally agreed to $640k</t>
        </is>
      </c>
      <c r="AF12" s="19" t="inlineStr">
        <is>
          <t>Prepare purchase contract</t>
        </is>
      </c>
      <c r="AG12" s="20" t="n">
        <v>46226</v>
      </c>
      <c r="AH12" s="19" t="inlineStr">
        <is>
          <t>Kyle</t>
        </is>
      </c>
      <c r="AI12" s="19" t="n"/>
      <c r="AJ12" s="19">
        <f>IF($B12="","",IF(AND($AD12="",$BA12="",$I12=""),"",TODAY()-MAX($AD12,$BA12,$I12)))</f>
        <v/>
      </c>
      <c r="AK12" s="19">
        <f>IF($B12="","",IF($AG12="","",IF(TODAY()&gt;$AG12,TODAY()-$AG12,0)))</f>
        <v/>
      </c>
      <c r="AL12" s="19">
        <f>IF($B12="","",IF(OR($AQ12="Lost / Closed Out",$AQ12="Long-Term Nurture",$AQ12="Contract Signed"),"No",IF(MAX($AD12,$BA12,$I12)=0,"No",IF(NETWORKDAYS(MAX($AD12,$BA12,$I12),TODAY())-1&gt;=3,"Yes","No"))))</f>
        <v/>
      </c>
      <c r="AM12" s="19" t="n"/>
      <c r="AN12" s="19" t="n"/>
      <c r="AO12" s="19" t="n"/>
      <c r="AP12" s="19" t="n"/>
      <c r="AQ12" s="19" t="inlineStr">
        <is>
          <t>Verbal Agreement</t>
        </is>
      </c>
      <c r="AR12" s="19" t="n"/>
      <c r="AS12" s="19" t="n"/>
      <c r="AT12" s="19" t="n"/>
      <c r="AU12" s="19" t="n"/>
      <c r="AV12" s="19" t="n"/>
      <c r="AW12" s="19">
        <f>IF(OR($B12="",$AQ12="Lost / Closed Out"),"",_xlfn.TEXTJOIN(", ",TRUE,IF($B12="","Property Address",""),IF($AQ12="","Current Stage",""),IF($AF12="","Next Action",""),IF($AG12="","Next Action Due Date",""),IF($AH12="","Assigned Owner",""),IF($H12="","REI BlackBook Link","")))</f>
        <v/>
      </c>
      <c r="AX12" s="19">
        <f>IF($C12="","",IF(COUNTIFS($C$2:$C$1000,$C12,$AQ$2:$AQ$1000,"&lt;&gt;Lost / Closed Out")&gt;1,"Duplicate",""))</f>
        <v/>
      </c>
      <c r="AY12" s="19">
        <f>IF($B12="","",IF($AQ12="Verbal Agreement",100,IF($AQ12="Contract Sent",95,IF($AQ12="Active Negotiation",85,IF($AQ12="Offer Sent",70,IF($AQ12="Offer Preparation",60,IF($AQ12="Visit Completed — Needs Review",50,IF($AQ12="Visit Scheduled",30,IF($AQ12="Long-Term Nurture",10,IF($AQ12="Contract Signed",5,0)))))))))+IF($AK12="",0,MIN($AK12,20))+IF($AL12="Yes",5,0))</f>
        <v/>
      </c>
      <c r="AZ12" s="20" t="n">
        <v>46221</v>
      </c>
      <c r="BA12" s="20" t="n">
        <v>46224</v>
      </c>
      <c r="BB12" s="19" t="inlineStr">
        <is>
          <t>Cherry</t>
        </is>
      </c>
      <c r="BC12" s="19" t="inlineStr">
        <is>
          <t>TEST</t>
        </is>
      </c>
      <c r="BD12" s="19">
        <f>IF($B12="","",IF($BE12&lt;&gt;"","Exception",IF($AW12&lt;&gt;"","Incomplete","OK")))</f>
        <v/>
      </c>
      <c r="BE12" s="19">
        <f>IF($B12="","",_xlfn.TEXTJOIN(" | ",TRUE,IF(AND($K12="Completed",$M12=""),"Completed visit missing Visit Notes",""),IF(AND($K12="Completed",$S12=""),"Completed visit missing Seller Motivation (or add Exception note)",""),IF(AND($AQ12="Offer Sent",OR($X12="",$AA12="")),"Offer Sent needs Approved Offer Amount + Offer Sent Date",""),IF(AND($AQ12="Active Negotiation",OR($AE12="",$AF12="",$AH12="",$AG12="")),"Active Negotiation needs Last Contact Result + Next Action + Owner + Due Date",""),IF(AND($AQ12="Contract Sent",$AT12="",$R12=""),"Contract Sent needs Contract Sent Date or File Link",""),IF(AND($AQ12="Contract Signed",$AU12=""),"Contract Signed needs Contract Signed Date",""),IF(AND($AQ12="Long-Term Nurture",OR($AG12="",$AG12&lt;=TODAY())),"Long-Term Nurture needs an exact FUTURE follow-up date",""),IF(AND($AQ12="Lost / Closed Out",OR($AR12="",$AS12="")),"Lost / Closed Out needs Final Disposition + Closeout Reason",""),IF(AND($AM12="Sent",$AO12=""),"Gift marked Sent without recorded approval",""),IF($AX12="Duplicate","Duplicate active record for this address","")))</f>
        <v/>
      </c>
      <c r="BF12" s="19" t="inlineStr">
        <is>
          <t>Yes</t>
        </is>
      </c>
      <c r="BG12" s="19" t="n"/>
    </row>
    <row r="13">
      <c r="A13" s="19" t="inlineStr">
        <is>
          <t>TEST-02</t>
        </is>
      </c>
      <c r="B13" s="19" t="inlineStr">
        <is>
          <t>200 Test Contract Sent Ave, Testville, CA 90002</t>
        </is>
      </c>
      <c r="C13" s="19">
        <f>IF($B13="","",TRIM(LOWER(SUBSTITUTE(SUBSTITUTE(SUBSTITUTE(SUBSTITUTE(SUBSTITUTE($B13,",",""),".","")," apt "," "),"#","")," unit "," "))))</f>
        <v/>
      </c>
      <c r="D13" s="19" t="inlineStr">
        <is>
          <t>Sam Sent</t>
        </is>
      </c>
      <c r="E13" s="19" t="inlineStr">
        <is>
          <t>(000) 000-0002</t>
        </is>
      </c>
      <c r="F13" s="19" t="n"/>
      <c r="G13" s="19" t="inlineStr">
        <is>
          <t>TV</t>
        </is>
      </c>
      <c r="H13" s="19" t="inlineStr">
        <is>
          <t>https://app.reiblackbook.com/lead/test02</t>
        </is>
      </c>
      <c r="I13" s="20" t="n">
        <v>46218</v>
      </c>
      <c r="J13" s="19" t="n"/>
      <c r="K13" s="19" t="inlineStr">
        <is>
          <t>Completed</t>
        </is>
      </c>
      <c r="L13" s="19" t="inlineStr">
        <is>
          <t>Juan</t>
        </is>
      </c>
      <c r="M13" s="19" t="inlineStr">
        <is>
          <t>Clean title; ready to move.</t>
        </is>
      </c>
      <c r="N13" s="19" t="n"/>
      <c r="O13" s="19" t="n"/>
      <c r="P13" s="19" t="n"/>
      <c r="Q13" s="19" t="n"/>
      <c r="R13" s="19" t="inlineStr">
        <is>
          <t>https://drive.google.com/test02-contract</t>
        </is>
      </c>
      <c r="S13" s="19" t="inlineStr">
        <is>
          <t>Downsizing — motivated</t>
        </is>
      </c>
      <c r="T13" s="19" t="n"/>
      <c r="U13" s="21" t="n"/>
      <c r="V13" s="21" t="n"/>
      <c r="W13" s="19" t="n"/>
      <c r="X13" s="21" t="n">
        <v>720000</v>
      </c>
      <c r="Y13" s="19" t="inlineStr">
        <is>
          <t>Accepted</t>
        </is>
      </c>
      <c r="Z13" s="19" t="n"/>
      <c r="AA13" s="20" t="n">
        <v>46219</v>
      </c>
      <c r="AB13" s="19" t="n"/>
      <c r="AC13" s="21" t="n"/>
      <c r="AD13" s="20" t="n">
        <v>46224</v>
      </c>
      <c r="AE13" s="19" t="inlineStr">
        <is>
          <t>Seller reviewing contract</t>
        </is>
      </c>
      <c r="AF13" s="19" t="inlineStr">
        <is>
          <t>Confirm signature</t>
        </is>
      </c>
      <c r="AG13" s="20" t="n">
        <v>46225</v>
      </c>
      <c r="AH13" s="19" t="inlineStr">
        <is>
          <t>Cherry</t>
        </is>
      </c>
      <c r="AI13" s="19" t="n"/>
      <c r="AJ13" s="19">
        <f>IF($B13="","",IF(AND($AD13="",$BA13="",$I13=""),"",TODAY()-MAX($AD13,$BA13,$I13)))</f>
        <v/>
      </c>
      <c r="AK13" s="19">
        <f>IF($B13="","",IF($AG13="","",IF(TODAY()&gt;$AG13,TODAY()-$AG13,0)))</f>
        <v/>
      </c>
      <c r="AL13" s="19">
        <f>IF($B13="","",IF(OR($AQ13="Lost / Closed Out",$AQ13="Long-Term Nurture",$AQ13="Contract Signed"),"No",IF(MAX($AD13,$BA13,$I13)=0,"No",IF(NETWORKDAYS(MAX($AD13,$BA13,$I13),TODAY())-1&gt;=3,"Yes","No"))))</f>
        <v/>
      </c>
      <c r="AM13" s="19" t="n"/>
      <c r="AN13" s="19" t="n"/>
      <c r="AO13" s="19" t="n"/>
      <c r="AP13" s="19" t="n"/>
      <c r="AQ13" s="19" t="inlineStr">
        <is>
          <t>Contract Sent</t>
        </is>
      </c>
      <c r="AR13" s="19" t="n"/>
      <c r="AS13" s="19" t="n"/>
      <c r="AT13" s="20" t="n">
        <v>46223</v>
      </c>
      <c r="AU13" s="19" t="n"/>
      <c r="AV13" s="19" t="n"/>
      <c r="AW13" s="19">
        <f>IF(OR($B13="",$AQ13="Lost / Closed Out"),"",_xlfn.TEXTJOIN(", ",TRUE,IF($B13="","Property Address",""),IF($AQ13="","Current Stage",""),IF($AF13="","Next Action",""),IF($AG13="","Next Action Due Date",""),IF($AH13="","Assigned Owner",""),IF($H13="","REI BlackBook Link","")))</f>
        <v/>
      </c>
      <c r="AX13" s="19">
        <f>IF($C13="","",IF(COUNTIFS($C$2:$C$1000,$C13,$AQ$2:$AQ$1000,"&lt;&gt;Lost / Closed Out")&gt;1,"Duplicate",""))</f>
        <v/>
      </c>
      <c r="AY13" s="19">
        <f>IF($B13="","",IF($AQ13="Verbal Agreement",100,IF($AQ13="Contract Sent",95,IF($AQ13="Active Negotiation",85,IF($AQ13="Offer Sent",70,IF($AQ13="Offer Preparation",60,IF($AQ13="Visit Completed — Needs Review",50,IF($AQ13="Visit Scheduled",30,IF($AQ13="Long-Term Nurture",10,IF($AQ13="Contract Signed",5,0)))))))))+IF($AK13="",0,MIN($AK13,20))+IF($AL13="Yes",5,0))</f>
        <v/>
      </c>
      <c r="AZ13" s="20" t="n">
        <v>46218</v>
      </c>
      <c r="BA13" s="20" t="n">
        <v>46224</v>
      </c>
      <c r="BB13" s="19" t="inlineStr">
        <is>
          <t>Cherry</t>
        </is>
      </c>
      <c r="BC13" s="19" t="inlineStr">
        <is>
          <t>TEST</t>
        </is>
      </c>
      <c r="BD13" s="19">
        <f>IF($B13="","",IF($BE13&lt;&gt;"","Exception",IF($AW13&lt;&gt;"","Incomplete","OK")))</f>
        <v/>
      </c>
      <c r="BE13" s="19">
        <f>IF($B13="","",_xlfn.TEXTJOIN(" | ",TRUE,IF(AND($K13="Completed",$M13=""),"Completed visit missing Visit Notes",""),IF(AND($K13="Completed",$S13=""),"Completed visit missing Seller Motivation (or add Exception note)",""),IF(AND($AQ13="Offer Sent",OR($X13="",$AA13="")),"Offer Sent needs Approved Offer Amount + Offer Sent Date",""),IF(AND($AQ13="Active Negotiation",OR($AE13="",$AF13="",$AH13="",$AG13="")),"Active Negotiation needs Last Contact Result + Next Action + Owner + Due Date",""),IF(AND($AQ13="Contract Sent",$AT13="",$R13=""),"Contract Sent needs Contract Sent Date or File Link",""),IF(AND($AQ13="Contract Signed",$AU13=""),"Contract Signed needs Contract Signed Date",""),IF(AND($AQ13="Long-Term Nurture",OR($AG13="",$AG13&lt;=TODAY())),"Long-Term Nurture needs an exact FUTURE follow-up date",""),IF(AND($AQ13="Lost / Closed Out",OR($AR13="",$AS13="")),"Lost / Closed Out needs Final Disposition + Closeout Reason",""),IF(AND($AM13="Sent",$AO13=""),"Gift marked Sent without recorded approval",""),IF($AX13="Duplicate","Duplicate active record for this address","")))</f>
        <v/>
      </c>
      <c r="BF13" s="19" t="inlineStr">
        <is>
          <t>Yes</t>
        </is>
      </c>
      <c r="BG13" s="19" t="n"/>
    </row>
    <row r="14">
      <c r="A14" s="19" t="inlineStr">
        <is>
          <t>TEST-03</t>
        </is>
      </c>
      <c r="B14" s="19" t="inlineStr">
        <is>
          <t>300 Test Signed Blvd, Testville, CA 90003</t>
        </is>
      </c>
      <c r="C14" s="19">
        <f>IF($B14="","",TRIM(LOWER(SUBSTITUTE(SUBSTITUTE(SUBSTITUTE(SUBSTITUTE(SUBSTITUTE($B14,",",""),".","")," apt "," "),"#","")," unit "," "))))</f>
        <v/>
      </c>
      <c r="D14" s="19" t="inlineStr">
        <is>
          <t>Sid Signed</t>
        </is>
      </c>
      <c r="E14" s="19" t="inlineStr">
        <is>
          <t>(000) 000-0003</t>
        </is>
      </c>
      <c r="F14" s="19" t="n"/>
      <c r="G14" s="19" t="inlineStr">
        <is>
          <t>Direct Mail</t>
        </is>
      </c>
      <c r="H14" s="19" t="inlineStr">
        <is>
          <t>https://app.reiblackbook.com/lead/test03</t>
        </is>
      </c>
      <c r="I14" s="20" t="n">
        <v>46213</v>
      </c>
      <c r="J14" s="19" t="n"/>
      <c r="K14" s="19" t="inlineStr">
        <is>
          <t>Completed</t>
        </is>
      </c>
      <c r="L14" s="19" t="inlineStr">
        <is>
          <t>Juan</t>
        </is>
      </c>
      <c r="M14" s="19" t="inlineStr">
        <is>
          <t>Signed.</t>
        </is>
      </c>
      <c r="N14" s="19" t="n"/>
      <c r="O14" s="19" t="n"/>
      <c r="P14" s="19" t="n"/>
      <c r="Q14" s="19" t="n"/>
      <c r="R14" s="19" t="n"/>
      <c r="S14" s="19" t="inlineStr">
        <is>
          <t>Estate sale — motivated</t>
        </is>
      </c>
      <c r="T14" s="19" t="n"/>
      <c r="U14" s="21" t="n"/>
      <c r="V14" s="21" t="n"/>
      <c r="W14" s="19" t="n"/>
      <c r="X14" s="21" t="n">
        <v>555000</v>
      </c>
      <c r="Y14" s="19" t="inlineStr">
        <is>
          <t>Accepted</t>
        </is>
      </c>
      <c r="Z14" s="19" t="n"/>
      <c r="AA14" s="20" t="n">
        <v>46214</v>
      </c>
      <c r="AB14" s="19" t="n"/>
      <c r="AC14" s="21" t="n"/>
      <c r="AD14" s="20" t="n">
        <v>46221</v>
      </c>
      <c r="AE14" s="19" t="inlineStr">
        <is>
          <t>Contract signed</t>
        </is>
      </c>
      <c r="AF14" s="19" t="inlineStr">
        <is>
          <t>Hand off signed contract to JM</t>
        </is>
      </c>
      <c r="AG14" s="20" t="n">
        <v>46223</v>
      </c>
      <c r="AH14" s="19" t="inlineStr">
        <is>
          <t>JM</t>
        </is>
      </c>
      <c r="AI14" s="19" t="n"/>
      <c r="AJ14" s="19">
        <f>IF($B14="","",IF(AND($AD14="",$BA14="",$I14=""),"",TODAY()-MAX($AD14,$BA14,$I14)))</f>
        <v/>
      </c>
      <c r="AK14" s="19">
        <f>IF($B14="","",IF($AG14="","",IF(TODAY()&gt;$AG14,TODAY()-$AG14,0)))</f>
        <v/>
      </c>
      <c r="AL14" s="19">
        <f>IF($B14="","",IF(OR($AQ14="Lost / Closed Out",$AQ14="Long-Term Nurture",$AQ14="Contract Signed"),"No",IF(MAX($AD14,$BA14,$I14)=0,"No",IF(NETWORKDAYS(MAX($AD14,$BA14,$I14),TODAY())-1&gt;=3,"Yes","No"))))</f>
        <v/>
      </c>
      <c r="AM14" s="19" t="n"/>
      <c r="AN14" s="19" t="n"/>
      <c r="AO14" s="19" t="n"/>
      <c r="AP14" s="19" t="n"/>
      <c r="AQ14" s="19" t="inlineStr">
        <is>
          <t>Contract Signed</t>
        </is>
      </c>
      <c r="AR14" s="19" t="inlineStr">
        <is>
          <t>Contracted</t>
        </is>
      </c>
      <c r="AS14" s="19" t="n"/>
      <c r="AT14" s="20" t="n">
        <v>46217</v>
      </c>
      <c r="AU14" s="20" t="n">
        <v>46221</v>
      </c>
      <c r="AV14" s="19" t="inlineStr">
        <is>
          <t>Ready for Handoff</t>
        </is>
      </c>
      <c r="AW14" s="19">
        <f>IF(OR($B14="",$AQ14="Lost / Closed Out"),"",_xlfn.TEXTJOIN(", ",TRUE,IF($B14="","Property Address",""),IF($AQ14="","Current Stage",""),IF($AF14="","Next Action",""),IF($AG14="","Next Action Due Date",""),IF($AH14="","Assigned Owner",""),IF($H14="","REI BlackBook Link","")))</f>
        <v/>
      </c>
      <c r="AX14" s="19">
        <f>IF($C14="","",IF(COUNTIFS($C$2:$C$1000,$C14,$AQ$2:$AQ$1000,"&lt;&gt;Lost / Closed Out")&gt;1,"Duplicate",""))</f>
        <v/>
      </c>
      <c r="AY14" s="19">
        <f>IF($B14="","",IF($AQ14="Verbal Agreement",100,IF($AQ14="Contract Sent",95,IF($AQ14="Active Negotiation",85,IF($AQ14="Offer Sent",70,IF($AQ14="Offer Preparation",60,IF($AQ14="Visit Completed — Needs Review",50,IF($AQ14="Visit Scheduled",30,IF($AQ14="Long-Term Nurture",10,IF($AQ14="Contract Signed",5,0)))))))))+IF($AK14="",0,MIN($AK14,20))+IF($AL14="Yes",5,0))</f>
        <v/>
      </c>
      <c r="AZ14" s="20" t="n">
        <v>46213</v>
      </c>
      <c r="BA14" s="20" t="n">
        <v>46221</v>
      </c>
      <c r="BB14" s="19" t="inlineStr">
        <is>
          <t>Cherry</t>
        </is>
      </c>
      <c r="BC14" s="19" t="inlineStr">
        <is>
          <t>TEST</t>
        </is>
      </c>
      <c r="BD14" s="19">
        <f>IF($B14="","",IF($BE14&lt;&gt;"","Exception",IF($AW14&lt;&gt;"","Incomplete","OK")))</f>
        <v/>
      </c>
      <c r="BE14" s="19">
        <f>IF($B14="","",_xlfn.TEXTJOIN(" | ",TRUE,IF(AND($K14="Completed",$M14=""),"Completed visit missing Visit Notes",""),IF(AND($K14="Completed",$S14=""),"Completed visit missing Seller Motivation (or add Exception note)",""),IF(AND($AQ14="Offer Sent",OR($X14="",$AA14="")),"Offer Sent needs Approved Offer Amount + Offer Sent Date",""),IF(AND($AQ14="Active Negotiation",OR($AE14="",$AF14="",$AH14="",$AG14="")),"Active Negotiation needs Last Contact Result + Next Action + Owner + Due Date",""),IF(AND($AQ14="Contract Sent",$AT14="",$R14=""),"Contract Sent needs Contract Sent Date or File Link",""),IF(AND($AQ14="Contract Signed",$AU14=""),"Contract Signed needs Contract Signed Date",""),IF(AND($AQ14="Long-Term Nurture",OR($AG14="",$AG14&lt;=TODAY())),"Long-Term Nurture needs an exact FUTURE follow-up date",""),IF(AND($AQ14="Lost / Closed Out",OR($AR14="",$AS14="")),"Lost / Closed Out needs Final Disposition + Closeout Reason",""),IF(AND($AM14="Sent",$AO14=""),"Gift marked Sent without recorded approval",""),IF($AX14="Duplicate","Duplicate active record for this address","")))</f>
        <v/>
      </c>
      <c r="BF14" s="19" t="inlineStr">
        <is>
          <t>Yes</t>
        </is>
      </c>
      <c r="BG14" s="19" t="n"/>
    </row>
    <row r="15">
      <c r="A15" s="19" t="inlineStr">
        <is>
          <t>TEST-04</t>
        </is>
      </c>
      <c r="B15" s="19" t="inlineStr">
        <is>
          <t>400 Test Needs Review St, Testville, CA 90004</t>
        </is>
      </c>
      <c r="C15" s="19">
        <f>IF($B15="","",TRIM(LOWER(SUBSTITUTE(SUBSTITUTE(SUBSTITUTE(SUBSTITUTE(SUBSTITUTE($B15,",",""),".","")," apt "," "),"#","")," unit "," "))))</f>
        <v/>
      </c>
      <c r="D15" s="19" t="inlineStr">
        <is>
          <t>Nia Needs-Review</t>
        </is>
      </c>
      <c r="E15" s="19" t="inlineStr">
        <is>
          <t>(000) 000-0004</t>
        </is>
      </c>
      <c r="F15" s="19" t="n"/>
      <c r="G15" s="19" t="inlineStr">
        <is>
          <t>PPC</t>
        </is>
      </c>
      <c r="H15" s="19" t="inlineStr">
        <is>
          <t>https://app.reiblackbook.com/lead/test04</t>
        </is>
      </c>
      <c r="I15" s="20" t="n">
        <v>46224</v>
      </c>
      <c r="J15" s="19" t="n"/>
      <c r="K15" s="19" t="inlineStr">
        <is>
          <t>Completed</t>
        </is>
      </c>
      <c r="L15" s="19" t="inlineStr">
        <is>
          <t>Juan</t>
        </is>
      </c>
      <c r="M15" s="19" t="inlineStr">
        <is>
          <t>Visit done; needs offer/pass decision.</t>
        </is>
      </c>
      <c r="N15" s="19" t="n"/>
      <c r="O15" s="19" t="n"/>
      <c r="P15" s="19" t="n"/>
      <c r="Q15" s="19" t="n"/>
      <c r="R15" s="19" t="n"/>
      <c r="S15" s="19" t="inlineStr">
        <is>
          <t>Job relocation</t>
        </is>
      </c>
      <c r="T15" s="19" t="n"/>
      <c r="U15" s="21" t="n"/>
      <c r="V15" s="21" t="n"/>
      <c r="W15" s="19" t="n"/>
      <c r="X15" s="21" t="n"/>
      <c r="Y15" s="19" t="n"/>
      <c r="Z15" s="19" t="n"/>
      <c r="AA15" s="19" t="n"/>
      <c r="AB15" s="19" t="n"/>
      <c r="AC15" s="21" t="n"/>
      <c r="AD15" s="20" t="n">
        <v>46224</v>
      </c>
      <c r="AE15" s="19" t="inlineStr">
        <is>
          <t>Walkthrough complete</t>
        </is>
      </c>
      <c r="AF15" s="19" t="inlineStr">
        <is>
          <t>Decide: make offer or pass</t>
        </is>
      </c>
      <c r="AG15" s="20" t="n">
        <v>46224</v>
      </c>
      <c r="AH15" s="19" t="inlineStr">
        <is>
          <t>Jonathan</t>
        </is>
      </c>
      <c r="AI15" s="19" t="n"/>
      <c r="AJ15" s="19">
        <f>IF($B15="","",IF(AND($AD15="",$BA15="",$I15=""),"",TODAY()-MAX($AD15,$BA15,$I15)))</f>
        <v/>
      </c>
      <c r="AK15" s="19">
        <f>IF($B15="","",IF($AG15="","",IF(TODAY()&gt;$AG15,TODAY()-$AG15,0)))</f>
        <v/>
      </c>
      <c r="AL15" s="19">
        <f>IF($B15="","",IF(OR($AQ15="Lost / Closed Out",$AQ15="Long-Term Nurture",$AQ15="Contract Signed"),"No",IF(MAX($AD15,$BA15,$I15)=0,"No",IF(NETWORKDAYS(MAX($AD15,$BA15,$I15),TODAY())-1&gt;=3,"Yes","No"))))</f>
        <v/>
      </c>
      <c r="AM15" s="19" t="n"/>
      <c r="AN15" s="19" t="n"/>
      <c r="AO15" s="19" t="n"/>
      <c r="AP15" s="19" t="n"/>
      <c r="AQ15" s="19" t="inlineStr">
        <is>
          <t>Visit Completed — Needs Review</t>
        </is>
      </c>
      <c r="AR15" s="19" t="n"/>
      <c r="AS15" s="19" t="n"/>
      <c r="AT15" s="19" t="n"/>
      <c r="AU15" s="19" t="n"/>
      <c r="AV15" s="19" t="n"/>
      <c r="AW15" s="19">
        <f>IF(OR($B15="",$AQ15="Lost / Closed Out"),"",_xlfn.TEXTJOIN(", ",TRUE,IF($B15="","Property Address",""),IF($AQ15="","Current Stage",""),IF($AF15="","Next Action",""),IF($AG15="","Next Action Due Date",""),IF($AH15="","Assigned Owner",""),IF($H15="","REI BlackBook Link","")))</f>
        <v/>
      </c>
      <c r="AX15" s="19">
        <f>IF($C15="","",IF(COUNTIFS($C$2:$C$1000,$C15,$AQ$2:$AQ$1000,"&lt;&gt;Lost / Closed Out")&gt;1,"Duplicate",""))</f>
        <v/>
      </c>
      <c r="AY15" s="19">
        <f>IF($B15="","",IF($AQ15="Verbal Agreement",100,IF($AQ15="Contract Sent",95,IF($AQ15="Active Negotiation",85,IF($AQ15="Offer Sent",70,IF($AQ15="Offer Preparation",60,IF($AQ15="Visit Completed — Needs Review",50,IF($AQ15="Visit Scheduled",30,IF($AQ15="Long-Term Nurture",10,IF($AQ15="Contract Signed",5,0)))))))))+IF($AK15="",0,MIN($AK15,20))+IF($AL15="Yes",5,0))</f>
        <v/>
      </c>
      <c r="AZ15" s="20" t="n">
        <v>46224</v>
      </c>
      <c r="BA15" s="20" t="n">
        <v>46224</v>
      </c>
      <c r="BB15" s="19" t="inlineStr">
        <is>
          <t>Jonathan</t>
        </is>
      </c>
      <c r="BC15" s="19" t="inlineStr">
        <is>
          <t>TEST</t>
        </is>
      </c>
      <c r="BD15" s="19">
        <f>IF($B15="","",IF($BE15&lt;&gt;"","Exception",IF($AW15&lt;&gt;"","Incomplete","OK")))</f>
        <v/>
      </c>
      <c r="BE15" s="19">
        <f>IF($B15="","",_xlfn.TEXTJOIN(" | ",TRUE,IF(AND($K15="Completed",$M15=""),"Completed visit missing Visit Notes",""),IF(AND($K15="Completed",$S15=""),"Completed visit missing Seller Motivation (or add Exception note)",""),IF(AND($AQ15="Offer Sent",OR($X15="",$AA15="")),"Offer Sent needs Approved Offer Amount + Offer Sent Date",""),IF(AND($AQ15="Active Negotiation",OR($AE15="",$AF15="",$AH15="",$AG15="")),"Active Negotiation needs Last Contact Result + Next Action + Owner + Due Date",""),IF(AND($AQ15="Contract Sent",$AT15="",$R15=""),"Contract Sent needs Contract Sent Date or File Link",""),IF(AND($AQ15="Contract Signed",$AU15=""),"Contract Signed needs Contract Signed Date",""),IF(AND($AQ15="Long-Term Nurture",OR($AG15="",$AG15&lt;=TODAY())),"Long-Term Nurture needs an exact FUTURE follow-up date",""),IF(AND($AQ15="Lost / Closed Out",OR($AR15="",$AS15="")),"Lost / Closed Out needs Final Disposition + Closeout Reason",""),IF(AND($AM15="Sent",$AO15=""),"Gift marked Sent without recorded approval",""),IF($AX15="Duplicate","Duplicate active record for this address","")))</f>
        <v/>
      </c>
      <c r="BF15" s="19" t="inlineStr">
        <is>
          <t>Yes</t>
        </is>
      </c>
      <c r="BG15" s="19" t="n"/>
    </row>
    <row r="16">
      <c r="A16" s="19" t="inlineStr">
        <is>
          <t>TEST-05</t>
        </is>
      </c>
      <c r="B16" s="19" t="inlineStr">
        <is>
          <t>500 Test Nurture Way, Testville, CA 90005</t>
        </is>
      </c>
      <c r="C16" s="19">
        <f>IF($B16="","",TRIM(LOWER(SUBSTITUTE(SUBSTITUTE(SUBSTITUTE(SUBSTITUTE(SUBSTITUTE($B16,",",""),".","")," apt "," "),"#","")," unit "," "))))</f>
        <v/>
      </c>
      <c r="D16" s="19" t="inlineStr">
        <is>
          <t>Nora Nurture</t>
        </is>
      </c>
      <c r="E16" s="19" t="inlineStr">
        <is>
          <t>(000) 000-0005</t>
        </is>
      </c>
      <c r="F16" s="19" t="n"/>
      <c r="G16" s="19" t="inlineStr">
        <is>
          <t>SEO</t>
        </is>
      </c>
      <c r="H16" s="19" t="inlineStr">
        <is>
          <t>https://app.reiblackbook.com/lead/test05</t>
        </is>
      </c>
      <c r="I16" s="20" t="n">
        <v>46193</v>
      </c>
      <c r="J16" s="19" t="n"/>
      <c r="K16" s="19" t="inlineStr">
        <is>
          <t>Completed</t>
        </is>
      </c>
      <c r="L16" s="19" t="inlineStr">
        <is>
          <t>Juan</t>
        </is>
      </c>
      <c r="M16" s="19" t="inlineStr">
        <is>
          <t>Not ready yet; call back in ~60 days.</t>
        </is>
      </c>
      <c r="N16" s="19" t="n"/>
      <c r="O16" s="19" t="n"/>
      <c r="P16" s="19" t="n"/>
      <c r="Q16" s="19" t="n"/>
      <c r="R16" s="19" t="n"/>
      <c r="S16" s="19" t="inlineStr">
        <is>
          <t>Will sell later this year</t>
        </is>
      </c>
      <c r="T16" s="19" t="n"/>
      <c r="U16" s="21" t="n"/>
      <c r="V16" s="21" t="n"/>
      <c r="W16" s="19" t="n"/>
      <c r="X16" s="21" t="n"/>
      <c r="Y16" s="19" t="n"/>
      <c r="Z16" s="19" t="n"/>
      <c r="AA16" s="19" t="n"/>
      <c r="AB16" s="19" t="n"/>
      <c r="AC16" s="21" t="n"/>
      <c r="AD16" s="20" t="n">
        <v>46193</v>
      </c>
      <c r="AE16" s="19" t="inlineStr">
        <is>
          <t>Asked for callback in 60 days</t>
        </is>
      </c>
      <c r="AF16" s="19" t="inlineStr">
        <is>
          <t>Nurture check-in call</t>
        </is>
      </c>
      <c r="AG16" s="20" t="n">
        <v>46285</v>
      </c>
      <c r="AH16" s="19" t="inlineStr">
        <is>
          <t>Cherry</t>
        </is>
      </c>
      <c r="AI16" s="19" t="n"/>
      <c r="AJ16" s="19">
        <f>IF($B16="","",IF(AND($AD16="",$BA16="",$I16=""),"",TODAY()-MAX($AD16,$BA16,$I16)))</f>
        <v/>
      </c>
      <c r="AK16" s="19">
        <f>IF($B16="","",IF($AG16="","",IF(TODAY()&gt;$AG16,TODAY()-$AG16,0)))</f>
        <v/>
      </c>
      <c r="AL16" s="19">
        <f>IF($B16="","",IF(OR($AQ16="Lost / Closed Out",$AQ16="Long-Term Nurture",$AQ16="Contract Signed"),"No",IF(MAX($AD16,$BA16,$I16)=0,"No",IF(NETWORKDAYS(MAX($AD16,$BA16,$I16),TODAY())-1&gt;=3,"Yes","No"))))</f>
        <v/>
      </c>
      <c r="AM16" s="19" t="inlineStr">
        <is>
          <t>Recommended</t>
        </is>
      </c>
      <c r="AN16" s="19" t="inlineStr">
        <is>
          <t>Strong rapport; long-term seller</t>
        </is>
      </c>
      <c r="AO16" s="19" t="n"/>
      <c r="AP16" s="19" t="n"/>
      <c r="AQ16" s="19" t="inlineStr">
        <is>
          <t>Long-Term Nurture</t>
        </is>
      </c>
      <c r="AR16" s="19" t="n"/>
      <c r="AS16" s="19" t="n"/>
      <c r="AT16" s="19" t="n"/>
      <c r="AU16" s="19" t="n"/>
      <c r="AV16" s="19" t="n"/>
      <c r="AW16" s="19">
        <f>IF(OR($B16="",$AQ16="Lost / Closed Out"),"",_xlfn.TEXTJOIN(", ",TRUE,IF($B16="","Property Address",""),IF($AQ16="","Current Stage",""),IF($AF16="","Next Action",""),IF($AG16="","Next Action Due Date",""),IF($AH16="","Assigned Owner",""),IF($H16="","REI BlackBook Link","")))</f>
        <v/>
      </c>
      <c r="AX16" s="19">
        <f>IF($C16="","",IF(COUNTIFS($C$2:$C$1000,$C16,$AQ$2:$AQ$1000,"&lt;&gt;Lost / Closed Out")&gt;1,"Duplicate",""))</f>
        <v/>
      </c>
      <c r="AY16" s="19">
        <f>IF($B16="","",IF($AQ16="Verbal Agreement",100,IF($AQ16="Contract Sent",95,IF($AQ16="Active Negotiation",85,IF($AQ16="Offer Sent",70,IF($AQ16="Offer Preparation",60,IF($AQ16="Visit Completed — Needs Review",50,IF($AQ16="Visit Scheduled",30,IF($AQ16="Long-Term Nurture",10,IF($AQ16="Contract Signed",5,0)))))))))+IF($AK16="",0,MIN($AK16,20))+IF($AL16="Yes",5,0))</f>
        <v/>
      </c>
      <c r="AZ16" s="20" t="n">
        <v>46193</v>
      </c>
      <c r="BA16" s="20" t="n">
        <v>46193</v>
      </c>
      <c r="BB16" s="19" t="inlineStr">
        <is>
          <t>Cherry</t>
        </is>
      </c>
      <c r="BC16" s="19" t="inlineStr">
        <is>
          <t>TEST</t>
        </is>
      </c>
      <c r="BD16" s="19">
        <f>IF($B16="","",IF($BE16&lt;&gt;"","Exception",IF($AW16&lt;&gt;"","Incomplete","OK")))</f>
        <v/>
      </c>
      <c r="BE16" s="19">
        <f>IF($B16="","",_xlfn.TEXTJOIN(" | ",TRUE,IF(AND($K16="Completed",$M16=""),"Completed visit missing Visit Notes",""),IF(AND($K16="Completed",$S16=""),"Completed visit missing Seller Motivation (or add Exception note)",""),IF(AND($AQ16="Offer Sent",OR($X16="",$AA16="")),"Offer Sent needs Approved Offer Amount + Offer Sent Date",""),IF(AND($AQ16="Active Negotiation",OR($AE16="",$AF16="",$AH16="",$AG16="")),"Active Negotiation needs Last Contact Result + Next Action + Owner + Due Date",""),IF(AND($AQ16="Contract Sent",$AT16="",$R16=""),"Contract Sent needs Contract Sent Date or File Link",""),IF(AND($AQ16="Contract Signed",$AU16=""),"Contract Signed needs Contract Signed Date",""),IF(AND($AQ16="Long-Term Nurture",OR($AG16="",$AG16&lt;=TODAY())),"Long-Term Nurture needs an exact FUTURE follow-up date",""),IF(AND($AQ16="Lost / Closed Out",OR($AR16="",$AS16="")),"Lost / Closed Out needs Final Disposition + Closeout Reason",""),IF(AND($AM16="Sent",$AO16=""),"Gift marked Sent without recorded approval",""),IF($AX16="Duplicate","Duplicate active record for this address","")))</f>
        <v/>
      </c>
      <c r="BF16" s="19" t="inlineStr">
        <is>
          <t>Yes</t>
        </is>
      </c>
      <c r="BG16" s="19" t="n"/>
    </row>
    <row r="17">
      <c r="A17" s="19" t="inlineStr">
        <is>
          <t>TEST-06</t>
        </is>
      </c>
      <c r="B17" s="19" t="inlineStr">
        <is>
          <t>600 Test Stalled Ct, Testville, CA 90006</t>
        </is>
      </c>
      <c r="C17" s="19">
        <f>IF($B17="","",TRIM(LOWER(SUBSTITUTE(SUBSTITUTE(SUBSTITUTE(SUBSTITUTE(SUBSTITUTE($B17,",",""),".","")," apt "," "),"#","")," unit "," "))))</f>
        <v/>
      </c>
      <c r="D17" s="19" t="inlineStr">
        <is>
          <t>Stan Stalled</t>
        </is>
      </c>
      <c r="E17" s="19" t="inlineStr">
        <is>
          <t>(000) 000-0006</t>
        </is>
      </c>
      <c r="F17" s="19" t="n"/>
      <c r="G17" s="19" t="inlineStr">
        <is>
          <t>PPC</t>
        </is>
      </c>
      <c r="H17" s="19" t="inlineStr">
        <is>
          <t>https://app.reiblackbook.com/lead/test06</t>
        </is>
      </c>
      <c r="I17" s="20" t="n">
        <v>46204</v>
      </c>
      <c r="J17" s="19" t="n"/>
      <c r="K17" s="19" t="inlineStr">
        <is>
          <t>Completed</t>
        </is>
      </c>
      <c r="L17" s="19" t="inlineStr">
        <is>
          <t>Juan</t>
        </is>
      </c>
      <c r="M17" s="19" t="inlineStr">
        <is>
          <t>Offer sent; seller gone quiet.</t>
        </is>
      </c>
      <c r="N17" s="19" t="n"/>
      <c r="O17" s="19" t="n"/>
      <c r="P17" s="19" t="n"/>
      <c r="Q17" s="19" t="n"/>
      <c r="R17" s="19" t="n"/>
      <c r="S17" s="19" t="inlineStr">
        <is>
          <t>Was motivated; now unresponsive</t>
        </is>
      </c>
      <c r="T17" s="19" t="n"/>
      <c r="U17" s="21" t="n"/>
      <c r="V17" s="21" t="n"/>
      <c r="W17" s="19" t="n"/>
      <c r="X17" s="21" t="n">
        <v>500000</v>
      </c>
      <c r="Y17" s="19" t="inlineStr">
        <is>
          <t>Sent</t>
        </is>
      </c>
      <c r="Z17" s="19" t="n"/>
      <c r="AA17" s="20" t="n">
        <v>46205</v>
      </c>
      <c r="AB17" s="19" t="n"/>
      <c r="AC17" s="21" t="n"/>
      <c r="AD17" s="20" t="n">
        <v>46205</v>
      </c>
      <c r="AE17" s="19" t="inlineStr">
        <is>
          <t>Offer sent; no reply since</t>
        </is>
      </c>
      <c r="AF17" s="19" t="inlineStr">
        <is>
          <t>Re-attempt contact</t>
        </is>
      </c>
      <c r="AG17" s="20" t="n">
        <v>46211</v>
      </c>
      <c r="AH17" s="19" t="inlineStr">
        <is>
          <t>Juan</t>
        </is>
      </c>
      <c r="AI17" s="19" t="inlineStr">
        <is>
          <t>Seller Unresponsive</t>
        </is>
      </c>
      <c r="AJ17" s="19">
        <f>IF($B17="","",IF(AND($AD17="",$BA17="",$I17=""),"",TODAY()-MAX($AD17,$BA17,$I17)))</f>
        <v/>
      </c>
      <c r="AK17" s="19">
        <f>IF($B17="","",IF($AG17="","",IF(TODAY()&gt;$AG17,TODAY()-$AG17,0)))</f>
        <v/>
      </c>
      <c r="AL17" s="19">
        <f>IF($B17="","",IF(OR($AQ17="Lost / Closed Out",$AQ17="Long-Term Nurture",$AQ17="Contract Signed"),"No",IF(MAX($AD17,$BA17,$I17)=0,"No",IF(NETWORKDAYS(MAX($AD17,$BA17,$I17),TODAY())-1&gt;=3,"Yes","No"))))</f>
        <v/>
      </c>
      <c r="AM17" s="19" t="n"/>
      <c r="AN17" s="19" t="n"/>
      <c r="AO17" s="19" t="n"/>
      <c r="AP17" s="19" t="n"/>
      <c r="AQ17" s="19" t="inlineStr">
        <is>
          <t>Offer Sent</t>
        </is>
      </c>
      <c r="AR17" s="19" t="n"/>
      <c r="AS17" s="19" t="n"/>
      <c r="AT17" s="19" t="n"/>
      <c r="AU17" s="19" t="n"/>
      <c r="AV17" s="19" t="n"/>
      <c r="AW17" s="19">
        <f>IF(OR($B17="",$AQ17="Lost / Closed Out"),"",_xlfn.TEXTJOIN(", ",TRUE,IF($B17="","Property Address",""),IF($AQ17="","Current Stage",""),IF($AF17="","Next Action",""),IF($AG17="","Next Action Due Date",""),IF($AH17="","Assigned Owner",""),IF($H17="","REI BlackBook Link","")))</f>
        <v/>
      </c>
      <c r="AX17" s="19">
        <f>IF($C17="","",IF(COUNTIFS($C$2:$C$1000,$C17,$AQ$2:$AQ$1000,"&lt;&gt;Lost / Closed Out")&gt;1,"Duplicate",""))</f>
        <v/>
      </c>
      <c r="AY17" s="19">
        <f>IF($B17="","",IF($AQ17="Verbal Agreement",100,IF($AQ17="Contract Sent",95,IF($AQ17="Active Negotiation",85,IF($AQ17="Offer Sent",70,IF($AQ17="Offer Preparation",60,IF($AQ17="Visit Completed — Needs Review",50,IF($AQ17="Visit Scheduled",30,IF($AQ17="Long-Term Nurture",10,IF($AQ17="Contract Signed",5,0)))))))))+IF($AK17="",0,MIN($AK17,20))+IF($AL17="Yes",5,0))</f>
        <v/>
      </c>
      <c r="AZ17" s="20" t="n">
        <v>46204</v>
      </c>
      <c r="BA17" s="20" t="n">
        <v>46205</v>
      </c>
      <c r="BB17" s="19" t="inlineStr">
        <is>
          <t>Juan</t>
        </is>
      </c>
      <c r="BC17" s="19" t="inlineStr">
        <is>
          <t>TEST</t>
        </is>
      </c>
      <c r="BD17" s="19">
        <f>IF($B17="","",IF($BE17&lt;&gt;"","Exception",IF($AW17&lt;&gt;"","Incomplete","OK")))</f>
        <v/>
      </c>
      <c r="BE17" s="19">
        <f>IF($B17="","",_xlfn.TEXTJOIN(" | ",TRUE,IF(AND($K17="Completed",$M17=""),"Completed visit missing Visit Notes",""),IF(AND($K17="Completed",$S17=""),"Completed visit missing Seller Motivation (or add Exception note)",""),IF(AND($AQ17="Offer Sent",OR($X17="",$AA17="")),"Offer Sent needs Approved Offer Amount + Offer Sent Date",""),IF(AND($AQ17="Active Negotiation",OR($AE17="",$AF17="",$AH17="",$AG17="")),"Active Negotiation needs Last Contact Result + Next Action + Owner + Due Date",""),IF(AND($AQ17="Contract Sent",$AT17="",$R17=""),"Contract Sent needs Contract Sent Date or File Link",""),IF(AND($AQ17="Contract Signed",$AU17=""),"Contract Signed needs Contract Signed Date",""),IF(AND($AQ17="Long-Term Nurture",OR($AG17="",$AG17&lt;=TODAY())),"Long-Term Nurture needs an exact FUTURE follow-up date",""),IF(AND($AQ17="Lost / Closed Out",OR($AR17="",$AS17="")),"Lost / Closed Out needs Final Disposition + Closeout Reason",""),IF(AND($AM17="Sent",$AO17=""),"Gift marked Sent without recorded approval",""),IF($AX17="Duplicate","Duplicate active record for this address","")))</f>
        <v/>
      </c>
      <c r="BF17" s="19" t="inlineStr">
        <is>
          <t>Yes</t>
        </is>
      </c>
      <c r="BG17" s="19" t="n"/>
    </row>
    <row r="18">
      <c r="A18" s="19" t="inlineStr">
        <is>
          <t>TEST-07</t>
        </is>
      </c>
      <c r="B18" s="19" t="inlineStr">
        <is>
          <t>700 Test Negotiation Rd, Testville, CA 90007</t>
        </is>
      </c>
      <c r="C18" s="19">
        <f>IF($B18="","",TRIM(LOWER(SUBSTITUTE(SUBSTITUTE(SUBSTITUTE(SUBSTITUTE(SUBSTITUTE($B18,",",""),".","")," apt "," "),"#","")," unit "," "))))</f>
        <v/>
      </c>
      <c r="D18" s="19" t="inlineStr">
        <is>
          <t>Neil Negotiate</t>
        </is>
      </c>
      <c r="E18" s="19" t="inlineStr">
        <is>
          <t>(000) 000-0007</t>
        </is>
      </c>
      <c r="F18" s="19" t="n"/>
      <c r="G18" s="19" t="inlineStr">
        <is>
          <t>TV</t>
        </is>
      </c>
      <c r="H18" s="19" t="inlineStr">
        <is>
          <t>https://app.reiblackbook.com/lead/test07</t>
        </is>
      </c>
      <c r="I18" s="20" t="n">
        <v>46219</v>
      </c>
      <c r="J18" s="19" t="n"/>
      <c r="K18" s="19" t="inlineStr">
        <is>
          <t>Completed</t>
        </is>
      </c>
      <c r="L18" s="19" t="inlineStr">
        <is>
          <t>Juan</t>
        </is>
      </c>
      <c r="M18" s="19" t="inlineStr">
        <is>
          <t>Seller countered.</t>
        </is>
      </c>
      <c r="N18" s="19" t="n"/>
      <c r="O18" s="19" t="n"/>
      <c r="P18" s="19" t="n"/>
      <c r="Q18" s="19" t="n"/>
      <c r="R18" s="19" t="n"/>
      <c r="S18" s="19" t="inlineStr">
        <is>
          <t>Motivated but wants more money</t>
        </is>
      </c>
      <c r="T18" s="19" t="n"/>
      <c r="U18" s="21" t="n"/>
      <c r="V18" s="21" t="n"/>
      <c r="W18" s="19" t="n"/>
      <c r="X18" s="21" t="n">
        <v>610000</v>
      </c>
      <c r="Y18" s="19" t="inlineStr">
        <is>
          <t>Countered</t>
        </is>
      </c>
      <c r="Z18" s="19" t="n"/>
      <c r="AA18" s="20" t="n">
        <v>46220</v>
      </c>
      <c r="AB18" s="19" t="n"/>
      <c r="AC18" s="21" t="n">
        <v>660000</v>
      </c>
      <c r="AD18" s="20" t="n">
        <v>46224</v>
      </c>
      <c r="AE18" s="19" t="inlineStr">
        <is>
          <t>Seller countered at $660k</t>
        </is>
      </c>
      <c r="AF18" s="19" t="inlineStr">
        <is>
          <t>Cherry/Juan decide counter response</t>
        </is>
      </c>
      <c r="AG18" s="20" t="n">
        <v>46225</v>
      </c>
      <c r="AH18" s="19" t="inlineStr">
        <is>
          <t>Cherry</t>
        </is>
      </c>
      <c r="AI18" s="19" t="inlineStr">
        <is>
          <t>Price</t>
        </is>
      </c>
      <c r="AJ18" s="19">
        <f>IF($B18="","",IF(AND($AD18="",$BA18="",$I18=""),"",TODAY()-MAX($AD18,$BA18,$I18)))</f>
        <v/>
      </c>
      <c r="AK18" s="19">
        <f>IF($B18="","",IF($AG18="","",IF(TODAY()&gt;$AG18,TODAY()-$AG18,0)))</f>
        <v/>
      </c>
      <c r="AL18" s="19">
        <f>IF($B18="","",IF(OR($AQ18="Lost / Closed Out",$AQ18="Long-Term Nurture",$AQ18="Contract Signed"),"No",IF(MAX($AD18,$BA18,$I18)=0,"No",IF(NETWORKDAYS(MAX($AD18,$BA18,$I18),TODAY())-1&gt;=3,"Yes","No"))))</f>
        <v/>
      </c>
      <c r="AM18" s="19" t="n"/>
      <c r="AN18" s="19" t="n"/>
      <c r="AO18" s="19" t="n"/>
      <c r="AP18" s="19" t="n"/>
      <c r="AQ18" s="19" t="inlineStr">
        <is>
          <t>Active Negotiation</t>
        </is>
      </c>
      <c r="AR18" s="19" t="n"/>
      <c r="AS18" s="19" t="n"/>
      <c r="AT18" s="19" t="n"/>
      <c r="AU18" s="19" t="n"/>
      <c r="AV18" s="19" t="n"/>
      <c r="AW18" s="19">
        <f>IF(OR($B18="",$AQ18="Lost / Closed Out"),"",_xlfn.TEXTJOIN(", ",TRUE,IF($B18="","Property Address",""),IF($AQ18="","Current Stage",""),IF($AF18="","Next Action",""),IF($AG18="","Next Action Due Date",""),IF($AH18="","Assigned Owner",""),IF($H18="","REI BlackBook Link","")))</f>
        <v/>
      </c>
      <c r="AX18" s="19">
        <f>IF($C18="","",IF(COUNTIFS($C$2:$C$1000,$C18,$AQ$2:$AQ$1000,"&lt;&gt;Lost / Closed Out")&gt;1,"Duplicate",""))</f>
        <v/>
      </c>
      <c r="AY18" s="19">
        <f>IF($B18="","",IF($AQ18="Verbal Agreement",100,IF($AQ18="Contract Sent",95,IF($AQ18="Active Negotiation",85,IF($AQ18="Offer Sent",70,IF($AQ18="Offer Preparation",60,IF($AQ18="Visit Completed — Needs Review",50,IF($AQ18="Visit Scheduled",30,IF($AQ18="Long-Term Nurture",10,IF($AQ18="Contract Signed",5,0)))))))))+IF($AK18="",0,MIN($AK18,20))+IF($AL18="Yes",5,0))</f>
        <v/>
      </c>
      <c r="AZ18" s="20" t="n">
        <v>46219</v>
      </c>
      <c r="BA18" s="20" t="n">
        <v>46224</v>
      </c>
      <c r="BB18" s="19" t="inlineStr">
        <is>
          <t>Cherry</t>
        </is>
      </c>
      <c r="BC18" s="19" t="inlineStr">
        <is>
          <t>TEST</t>
        </is>
      </c>
      <c r="BD18" s="19">
        <f>IF($B18="","",IF($BE18&lt;&gt;"","Exception",IF($AW18&lt;&gt;"","Incomplete","OK")))</f>
        <v/>
      </c>
      <c r="BE18" s="19">
        <f>IF($B18="","",_xlfn.TEXTJOIN(" | ",TRUE,IF(AND($K18="Completed",$M18=""),"Completed visit missing Visit Notes",""),IF(AND($K18="Completed",$S18=""),"Completed visit missing Seller Motivation (or add Exception note)",""),IF(AND($AQ18="Offer Sent",OR($X18="",$AA18="")),"Offer Sent needs Approved Offer Amount + Offer Sent Date",""),IF(AND($AQ18="Active Negotiation",OR($AE18="",$AF18="",$AH18="",$AG18="")),"Active Negotiation needs Last Contact Result + Next Action + Owner + Due Date",""),IF(AND($AQ18="Contract Sent",$AT18="",$R18=""),"Contract Sent needs Contract Sent Date or File Link",""),IF(AND($AQ18="Contract Signed",$AU18=""),"Contract Signed needs Contract Signed Date",""),IF(AND($AQ18="Long-Term Nurture",OR($AG18="",$AG18&lt;=TODAY())),"Long-Term Nurture needs an exact FUTURE follow-up date",""),IF(AND($AQ18="Lost / Closed Out",OR($AR18="",$AS18="")),"Lost / Closed Out needs Final Disposition + Closeout Reason",""),IF(AND($AM18="Sent",$AO18=""),"Gift marked Sent without recorded approval",""),IF($AX18="Duplicate","Duplicate active record for this address","")))</f>
        <v/>
      </c>
      <c r="BF18" s="19" t="inlineStr">
        <is>
          <t>Yes</t>
        </is>
      </c>
      <c r="BG18" s="19" t="n"/>
    </row>
    <row r="19">
      <c r="A19" s="19" t="inlineStr">
        <is>
          <t>TEST-08</t>
        </is>
      </c>
      <c r="B19" s="19" t="inlineStr">
        <is>
          <t>700 Test Negotiation Rd., Testville, CA 90007</t>
        </is>
      </c>
      <c r="C19" s="19">
        <f>IF($B19="","",TRIM(LOWER(SUBSTITUTE(SUBSTITUTE(SUBSTITUTE(SUBSTITUTE(SUBSTITUTE($B19,",",""),".","")," apt "," "),"#","")," unit "," "))))</f>
        <v/>
      </c>
      <c r="D19" s="19" t="inlineStr">
        <is>
          <t>Duplicate Entry</t>
        </is>
      </c>
      <c r="E19" s="19" t="inlineStr">
        <is>
          <t>(000) 000-0008</t>
        </is>
      </c>
      <c r="F19" s="19" t="n"/>
      <c r="G19" s="19" t="inlineStr">
        <is>
          <t>TV</t>
        </is>
      </c>
      <c r="H19" s="19" t="inlineStr">
        <is>
          <t>https://app.reiblackbook.com/lead/test08</t>
        </is>
      </c>
      <c r="I19" s="20" t="n">
        <v>46219</v>
      </c>
      <c r="J19" s="19" t="n"/>
      <c r="K19" s="19" t="inlineStr">
        <is>
          <t>Scheduled</t>
        </is>
      </c>
      <c r="L19" s="19" t="inlineStr">
        <is>
          <t>Juan</t>
        </is>
      </c>
      <c r="M19" s="19" t="n"/>
      <c r="N19" s="19" t="n"/>
      <c r="O19" s="19" t="n"/>
      <c r="P19" s="19" t="n"/>
      <c r="Q19" s="19" t="n"/>
      <c r="R19" s="19" t="n"/>
      <c r="S19" s="19" t="n"/>
      <c r="T19" s="19" t="n"/>
      <c r="U19" s="21" t="n"/>
      <c r="V19" s="21" t="n"/>
      <c r="W19" s="19" t="n"/>
      <c r="X19" s="21" t="n"/>
      <c r="Y19" s="19" t="n"/>
      <c r="Z19" s="19" t="n"/>
      <c r="AA19" s="19" t="n"/>
      <c r="AB19" s="19" t="n"/>
      <c r="AC19" s="21" t="n"/>
      <c r="AD19" s="19" t="n"/>
      <c r="AE19" s="19" t="n"/>
      <c r="AF19" s="19" t="inlineStr">
        <is>
          <t>Verify duplicate</t>
        </is>
      </c>
      <c r="AG19" s="20" t="n">
        <v>46226</v>
      </c>
      <c r="AH19" s="19" t="inlineStr">
        <is>
          <t>Cherry</t>
        </is>
      </c>
      <c r="AI19" s="19" t="n"/>
      <c r="AJ19" s="19">
        <f>IF($B19="","",IF(AND($AD19="",$BA19="",$I19=""),"",TODAY()-MAX($AD19,$BA19,$I19)))</f>
        <v/>
      </c>
      <c r="AK19" s="19">
        <f>IF($B19="","",IF($AG19="","",IF(TODAY()&gt;$AG19,TODAY()-$AG19,0)))</f>
        <v/>
      </c>
      <c r="AL19" s="19">
        <f>IF($B19="","",IF(OR($AQ19="Lost / Closed Out",$AQ19="Long-Term Nurture",$AQ19="Contract Signed"),"No",IF(MAX($AD19,$BA19,$I19)=0,"No",IF(NETWORKDAYS(MAX($AD19,$BA19,$I19),TODAY())-1&gt;=3,"Yes","No"))))</f>
        <v/>
      </c>
      <c r="AM19" s="19" t="n"/>
      <c r="AN19" s="19" t="n"/>
      <c r="AO19" s="19" t="n"/>
      <c r="AP19" s="19" t="n"/>
      <c r="AQ19" s="19" t="inlineStr">
        <is>
          <t>Visit Scheduled</t>
        </is>
      </c>
      <c r="AR19" s="19" t="n"/>
      <c r="AS19" s="19" t="n"/>
      <c r="AT19" s="19" t="n"/>
      <c r="AU19" s="19" t="n"/>
      <c r="AV19" s="19" t="n"/>
      <c r="AW19" s="19">
        <f>IF(OR($B19="",$AQ19="Lost / Closed Out"),"",_xlfn.TEXTJOIN(", ",TRUE,IF($B19="","Property Address",""),IF($AQ19="","Current Stage",""),IF($AF19="","Next Action",""),IF($AG19="","Next Action Due Date",""),IF($AH19="","Assigned Owner",""),IF($H19="","REI BlackBook Link","")))</f>
        <v/>
      </c>
      <c r="AX19" s="19">
        <f>IF($C19="","",IF(COUNTIFS($C$2:$C$1000,$C19,$AQ$2:$AQ$1000,"&lt;&gt;Lost / Closed Out")&gt;1,"Duplicate",""))</f>
        <v/>
      </c>
      <c r="AY19" s="19">
        <f>IF($B19="","",IF($AQ19="Verbal Agreement",100,IF($AQ19="Contract Sent",95,IF($AQ19="Active Negotiation",85,IF($AQ19="Offer Sent",70,IF($AQ19="Offer Preparation",60,IF($AQ19="Visit Completed — Needs Review",50,IF($AQ19="Visit Scheduled",30,IF($AQ19="Long-Term Nurture",10,IF($AQ19="Contract Signed",5,0)))))))))+IF($AK19="",0,MIN($AK19,20))+IF($AL19="Yes",5,0))</f>
        <v/>
      </c>
      <c r="AZ19" s="20" t="n">
        <v>46219</v>
      </c>
      <c r="BA19" s="20" t="n">
        <v>46219</v>
      </c>
      <c r="BB19" s="19" t="inlineStr">
        <is>
          <t>Cherry</t>
        </is>
      </c>
      <c r="BC19" s="19" t="inlineStr">
        <is>
          <t>TEST</t>
        </is>
      </c>
      <c r="BD19" s="19">
        <f>IF($B19="","",IF($BE19&lt;&gt;"","Exception",IF($AW19&lt;&gt;"","Incomplete","OK")))</f>
        <v/>
      </c>
      <c r="BE19" s="19">
        <f>IF($B19="","",_xlfn.TEXTJOIN(" | ",TRUE,IF(AND($K19="Completed",$M19=""),"Completed visit missing Visit Notes",""),IF(AND($K19="Completed",$S19=""),"Completed visit missing Seller Motivation (or add Exception note)",""),IF(AND($AQ19="Offer Sent",OR($X19="",$AA19="")),"Offer Sent needs Approved Offer Amount + Offer Sent Date",""),IF(AND($AQ19="Active Negotiation",OR($AE19="",$AF19="",$AH19="",$AG19="")),"Active Negotiation needs Last Contact Result + Next Action + Owner + Due Date",""),IF(AND($AQ19="Contract Sent",$AT19="",$R19=""),"Contract Sent needs Contract Sent Date or File Link",""),IF(AND($AQ19="Contract Signed",$AU19=""),"Contract Signed needs Contract Signed Date",""),IF(AND($AQ19="Long-Term Nurture",OR($AG19="",$AG19&lt;=TODAY())),"Long-Term Nurture needs an exact FUTURE follow-up date",""),IF(AND($AQ19="Lost / Closed Out",OR($AR19="",$AS19="")),"Lost / Closed Out needs Final Disposition + Closeout Reason",""),IF(AND($AM19="Sent",$AO19=""),"Gift marked Sent without recorded approval",""),IF($AX19="Duplicate","Duplicate active record for this address","")))</f>
        <v/>
      </c>
      <c r="BF19" s="19" t="inlineStr">
        <is>
          <t>Yes</t>
        </is>
      </c>
      <c r="BG19" s="19" t="n"/>
    </row>
    <row r="20">
      <c r="A20" s="19" t="inlineStr">
        <is>
          <t>TEST-09</t>
        </is>
      </c>
      <c r="B20" s="19" t="inlineStr">
        <is>
          <t>900 Test Revival Dr, Testville, CA 90009</t>
        </is>
      </c>
      <c r="C20" s="19">
        <f>IF($B20="","",TRIM(LOWER(SUBSTITUTE(SUBSTITUTE(SUBSTITUTE(SUBSTITUTE(SUBSTITUTE($B20,",",""),".","")," apt "," "),"#","")," unit "," "))))</f>
        <v/>
      </c>
      <c r="D20" s="19" t="inlineStr">
        <is>
          <t>Rita Revival</t>
        </is>
      </c>
      <c r="E20" s="19" t="inlineStr">
        <is>
          <t>(000) 000-0009</t>
        </is>
      </c>
      <c r="F20" s="19" t="n"/>
      <c r="G20" s="19" t="inlineStr">
        <is>
          <t>Direct Mail</t>
        </is>
      </c>
      <c r="H20" s="19" t="inlineStr">
        <is>
          <t>https://app.reiblackbook.com/lead/test09</t>
        </is>
      </c>
      <c r="I20" s="20" t="n">
        <v>46113</v>
      </c>
      <c r="J20" s="19" t="n"/>
      <c r="K20" s="19" t="inlineStr">
        <is>
          <t>Completed</t>
        </is>
      </c>
      <c r="L20" s="19" t="inlineStr">
        <is>
          <t>Juan</t>
        </is>
      </c>
      <c r="M20" s="19" t="inlineStr">
        <is>
          <t>Passed in spring; seller wanted more than numbers allowed.</t>
        </is>
      </c>
      <c r="N20" s="19" t="n"/>
      <c r="O20" s="19" t="n"/>
      <c r="P20" s="19" t="n"/>
      <c r="Q20" s="19" t="n"/>
      <c r="R20" s="19" t="n"/>
      <c r="S20" s="19" t="inlineStr">
        <is>
          <t>Was motivated; timing/price gap at the time</t>
        </is>
      </c>
      <c r="T20" s="19" t="n"/>
      <c r="U20" s="21" t="n"/>
      <c r="V20" s="21" t="n"/>
      <c r="W20" s="19" t="n"/>
      <c r="X20" s="21" t="n"/>
      <c r="Y20" s="19" t="n"/>
      <c r="Z20" s="19" t="n"/>
      <c r="AA20" s="19" t="n"/>
      <c r="AB20" s="19" t="n"/>
      <c r="AC20" s="21" t="n"/>
      <c r="AD20" s="20" t="n">
        <v>46115</v>
      </c>
      <c r="AE20" s="19" t="inlineStr">
        <is>
          <t>Seller declined; open to future contact</t>
        </is>
      </c>
      <c r="AF20" s="19" t="n"/>
      <c r="AG20" s="19" t="n"/>
      <c r="AH20" s="19" t="n"/>
      <c r="AI20" s="19" t="n"/>
      <c r="AJ20" s="19">
        <f>IF($B20="","",IF(AND($AD20="",$BA20="",$I20=""),"",TODAY()-MAX($AD20,$BA20,$I20)))</f>
        <v/>
      </c>
      <c r="AK20" s="19">
        <f>IF($B20="","",IF($AG20="","",IF(TODAY()&gt;$AG20,TODAY()-$AG20,0)))</f>
        <v/>
      </c>
      <c r="AL20" s="19">
        <f>IF($B20="","",IF(OR($AQ20="Lost / Closed Out",$AQ20="Long-Term Nurture",$AQ20="Contract Signed"),"No",IF(MAX($AD20,$BA20,$I20)=0,"No",IF(NETWORKDAYS(MAX($AD20,$BA20,$I20),TODAY())-1&gt;=3,"Yes","No"))))</f>
        <v/>
      </c>
      <c r="AM20" s="19" t="n"/>
      <c r="AN20" s="19" t="n"/>
      <c r="AO20" s="19" t="n"/>
      <c r="AP20" s="19" t="n"/>
      <c r="AQ20" s="19" t="inlineStr">
        <is>
          <t>Lost / Closed Out</t>
        </is>
      </c>
      <c r="AR20" s="19" t="inlineStr">
        <is>
          <t>Lost</t>
        </is>
      </c>
      <c r="AS20" s="19" t="inlineStr">
        <is>
          <t>Seller Rejected Offer — price gap (revisit later)</t>
        </is>
      </c>
      <c r="AT20" s="19" t="n"/>
      <c r="AU20" s="19" t="n"/>
      <c r="AV20" s="19" t="n"/>
      <c r="AW20" s="19">
        <f>IF(OR($B20="",$AQ20="Lost / Closed Out"),"",_xlfn.TEXTJOIN(", ",TRUE,IF($B20="","Property Address",""),IF($AQ20="","Current Stage",""),IF($AF20="","Next Action",""),IF($AG20="","Next Action Due Date",""),IF($AH20="","Assigned Owner",""),IF($H20="","REI BlackBook Link","")))</f>
        <v/>
      </c>
      <c r="AX20" s="19">
        <f>IF($C20="","",IF(COUNTIFS($C$2:$C$1000,$C20,$AQ$2:$AQ$1000,"&lt;&gt;Lost / Closed Out")&gt;1,"Duplicate",""))</f>
        <v/>
      </c>
      <c r="AY20" s="19">
        <f>IF($B20="","",IF($AQ20="Verbal Agreement",100,IF($AQ20="Contract Sent",95,IF($AQ20="Active Negotiation",85,IF($AQ20="Offer Sent",70,IF($AQ20="Offer Preparation",60,IF($AQ20="Visit Completed — Needs Review",50,IF($AQ20="Visit Scheduled",30,IF($AQ20="Long-Term Nurture",10,IF($AQ20="Contract Signed",5,0)))))))))+IF($AK20="",0,MIN($AK20,20))+IF($AL20="Yes",5,0))</f>
        <v/>
      </c>
      <c r="AZ20" s="20" t="n">
        <v>46113</v>
      </c>
      <c r="BA20" s="20" t="n">
        <v>46115</v>
      </c>
      <c r="BB20" s="19" t="inlineStr">
        <is>
          <t>Cherry</t>
        </is>
      </c>
      <c r="BC20" s="19" t="inlineStr">
        <is>
          <t>TEST</t>
        </is>
      </c>
      <c r="BD20" s="19">
        <f>IF($B20="","",IF($BE20&lt;&gt;"","Exception",IF($AW20&lt;&gt;"","Incomplete","OK")))</f>
        <v/>
      </c>
      <c r="BE20" s="19">
        <f>IF($B20="","",_xlfn.TEXTJOIN(" | ",TRUE,IF(AND($K20="Completed",$M20=""),"Completed visit missing Visit Notes",""),IF(AND($K20="Completed",$S20=""),"Completed visit missing Seller Motivation (or add Exception note)",""),IF(AND($AQ20="Offer Sent",OR($X20="",$AA20="")),"Offer Sent needs Approved Offer Amount + Offer Sent Date",""),IF(AND($AQ20="Active Negotiation",OR($AE20="",$AF20="",$AH20="",$AG20="")),"Active Negotiation needs Last Contact Result + Next Action + Owner + Due Date",""),IF(AND($AQ20="Contract Sent",$AT20="",$R20=""),"Contract Sent needs Contract Sent Date or File Link",""),IF(AND($AQ20="Contract Signed",$AU20=""),"Contract Signed needs Contract Signed Date",""),IF(AND($AQ20="Long-Term Nurture",OR($AG20="",$AG20&lt;=TODAY())),"Long-Term Nurture needs an exact FUTURE follow-up date",""),IF(AND($AQ20="Lost / Closed Out",OR($AR20="",$AS20="")),"Lost / Closed Out needs Final Disposition + Closeout Reason",""),IF(AND($AM20="Sent",$AO20=""),"Gift marked Sent without recorded approval",""),IF($AX20="Duplicate","Duplicate active record for this address","")))</f>
        <v/>
      </c>
      <c r="BF20" s="19" t="n"/>
      <c r="BG20" s="19" t="n"/>
    </row>
    <row r="21">
      <c r="C21" s="2">
        <f>IF($B21="","",TRIM(LOWER(SUBSTITUTE(SUBSTITUTE(SUBSTITUTE(SUBSTITUTE(SUBSTITUTE($B21,",",""),".","")," apt "," "),"#","")," unit "," "))))</f>
        <v/>
      </c>
      <c r="AJ21" s="2">
        <f>IF($B21="","",IF(AND($AD21="",$BA21="",$I21=""),"",TODAY()-MAX($AD21,$BA21,$I21)))</f>
        <v/>
      </c>
      <c r="AK21" s="2">
        <f>IF($B21="","",IF($AG21="","",IF(TODAY()&gt;$AG21,TODAY()-$AG21,0)))</f>
        <v/>
      </c>
      <c r="AL21" s="2">
        <f>IF($B21="","",IF(OR($AQ21="Lost / Closed Out",$AQ21="Long-Term Nurture",$AQ21="Contract Signed"),"No",IF(MAX($AD21,$BA21,$I21)=0,"No",IF(NETWORKDAYS(MAX($AD21,$BA21,$I21),TODAY())-1&gt;=3,"Yes","No"))))</f>
        <v/>
      </c>
      <c r="AW21" s="2">
        <f>IF(OR($B21="",$AQ21="Lost / Closed Out"),"",_xlfn.TEXTJOIN(", ",TRUE,IF($B21="","Property Address",""),IF($AQ21="","Current Stage",""),IF($AF21="","Next Action",""),IF($AG21="","Next Action Due Date",""),IF($AH21="","Assigned Owner",""),IF($H21="","REI BlackBook Link","")))</f>
        <v/>
      </c>
      <c r="AX21" s="2">
        <f>IF($C21="","",IF(COUNTIFS($C$2:$C$1000,$C21,$AQ$2:$AQ$1000,"&lt;&gt;Lost / Closed Out")&gt;1,"Duplicate",""))</f>
        <v/>
      </c>
      <c r="AY21" s="2">
        <f>IF($B21="","",IF($AQ21="Verbal Agreement",100,IF($AQ21="Contract Sent",95,IF($AQ21="Active Negotiation",85,IF($AQ21="Offer Sent",70,IF($AQ21="Offer Preparation",60,IF($AQ21="Visit Completed — Needs Review",50,IF($AQ21="Visit Scheduled",30,IF($AQ21="Long-Term Nurture",10,IF($AQ21="Contract Signed",5,0)))))))))+IF($AK21="",0,MIN($AK21,20))+IF($AL21="Yes",5,0))</f>
        <v/>
      </c>
      <c r="BD21" s="2">
        <f>IF($B21="","",IF($BE21&lt;&gt;"","Exception",IF($AW21&lt;&gt;"","Incomplete","OK")))</f>
        <v/>
      </c>
      <c r="BE21" s="2">
        <f>IF($B21="","",_xlfn.TEXTJOIN(" | ",TRUE,IF(AND($K21="Completed",$M21=""),"Completed visit missing Visit Notes",""),IF(AND($K21="Completed",$S21=""),"Completed visit missing Seller Motivation (or add Exception note)",""),IF(AND($AQ21="Offer Sent",OR($X21="",$AA21="")),"Offer Sent needs Approved Offer Amount + Offer Sent Date",""),IF(AND($AQ21="Active Negotiation",OR($AE21="",$AF21="",$AH21="",$AG21="")),"Active Negotiation needs Last Contact Result + Next Action + Owner + Due Date",""),IF(AND($AQ21="Contract Sent",$AT21="",$R21=""),"Contract Sent needs Contract Sent Date or File Link",""),IF(AND($AQ21="Contract Signed",$AU21=""),"Contract Signed needs Contract Signed Date",""),IF(AND($AQ21="Long-Term Nurture",OR($AG21="",$AG21&lt;=TODAY())),"Long-Term Nurture needs an exact FUTURE follow-up date",""),IF(AND($AQ21="Lost / Closed Out",OR($AR21="",$AS21="")),"Lost / Closed Out needs Final Disposition + Closeout Reason",""),IF(AND($AM21="Sent",$AO21=""),"Gift marked Sent without recorded approval",""),IF($AX21="Duplicate","Duplicate active record for this address","")))</f>
        <v/>
      </c>
    </row>
    <row r="22">
      <c r="C22" s="2">
        <f>IF($B22="","",TRIM(LOWER(SUBSTITUTE(SUBSTITUTE(SUBSTITUTE(SUBSTITUTE(SUBSTITUTE($B22,",",""),".","")," apt "," "),"#","")," unit "," "))))</f>
        <v/>
      </c>
      <c r="AJ22" s="2">
        <f>IF($B22="","",IF(AND($AD22="",$BA22="",$I22=""),"",TODAY()-MAX($AD22,$BA22,$I22)))</f>
        <v/>
      </c>
      <c r="AK22" s="2">
        <f>IF($B22="","",IF($AG22="","",IF(TODAY()&gt;$AG22,TODAY()-$AG22,0)))</f>
        <v/>
      </c>
      <c r="AL22" s="2">
        <f>IF($B22="","",IF(OR($AQ22="Lost / Closed Out",$AQ22="Long-Term Nurture",$AQ22="Contract Signed"),"No",IF(MAX($AD22,$BA22,$I22)=0,"No",IF(NETWORKDAYS(MAX($AD22,$BA22,$I22),TODAY())-1&gt;=3,"Yes","No"))))</f>
        <v/>
      </c>
      <c r="AW22" s="2">
        <f>IF(OR($B22="",$AQ22="Lost / Closed Out"),"",_xlfn.TEXTJOIN(", ",TRUE,IF($B22="","Property Address",""),IF($AQ22="","Current Stage",""),IF($AF22="","Next Action",""),IF($AG22="","Next Action Due Date",""),IF($AH22="","Assigned Owner",""),IF($H22="","REI BlackBook Link","")))</f>
        <v/>
      </c>
      <c r="AX22" s="2">
        <f>IF($C22="","",IF(COUNTIFS($C$2:$C$1000,$C22,$AQ$2:$AQ$1000,"&lt;&gt;Lost / Closed Out")&gt;1,"Duplicate",""))</f>
        <v/>
      </c>
      <c r="AY22" s="2">
        <f>IF($B22="","",IF($AQ22="Verbal Agreement",100,IF($AQ22="Contract Sent",95,IF($AQ22="Active Negotiation",85,IF($AQ22="Offer Sent",70,IF($AQ22="Offer Preparation",60,IF($AQ22="Visit Completed — Needs Review",50,IF($AQ22="Visit Scheduled",30,IF($AQ22="Long-Term Nurture",10,IF($AQ22="Contract Signed",5,0)))))))))+IF($AK22="",0,MIN($AK22,20))+IF($AL22="Yes",5,0))</f>
        <v/>
      </c>
      <c r="BD22" s="2">
        <f>IF($B22="","",IF($BE22&lt;&gt;"","Exception",IF($AW22&lt;&gt;"","Incomplete","OK")))</f>
        <v/>
      </c>
      <c r="BE22" s="2">
        <f>IF($B22="","",_xlfn.TEXTJOIN(" | ",TRUE,IF(AND($K22="Completed",$M22=""),"Completed visit missing Visit Notes",""),IF(AND($K22="Completed",$S22=""),"Completed visit missing Seller Motivation (or add Exception note)",""),IF(AND($AQ22="Offer Sent",OR($X22="",$AA22="")),"Offer Sent needs Approved Offer Amount + Offer Sent Date",""),IF(AND($AQ22="Active Negotiation",OR($AE22="",$AF22="",$AH22="",$AG22="")),"Active Negotiation needs Last Contact Result + Next Action + Owner + Due Date",""),IF(AND($AQ22="Contract Sent",$AT22="",$R22=""),"Contract Sent needs Contract Sent Date or File Link",""),IF(AND($AQ22="Contract Signed",$AU22=""),"Contract Signed needs Contract Signed Date",""),IF(AND($AQ22="Long-Term Nurture",OR($AG22="",$AG22&lt;=TODAY())),"Long-Term Nurture needs an exact FUTURE follow-up date",""),IF(AND($AQ22="Lost / Closed Out",OR($AR22="",$AS22="")),"Lost / Closed Out needs Final Disposition + Closeout Reason",""),IF(AND($AM22="Sent",$AO22=""),"Gift marked Sent without recorded approval",""),IF($AX22="Duplicate","Duplicate active record for this address","")))</f>
        <v/>
      </c>
    </row>
    <row r="23">
      <c r="C23" s="2">
        <f>IF($B23="","",TRIM(LOWER(SUBSTITUTE(SUBSTITUTE(SUBSTITUTE(SUBSTITUTE(SUBSTITUTE($B23,",",""),".","")," apt "," "),"#","")," unit "," "))))</f>
        <v/>
      </c>
      <c r="AJ23" s="2">
        <f>IF($B23="","",IF(AND($AD23="",$BA23="",$I23=""),"",TODAY()-MAX($AD23,$BA23,$I23)))</f>
        <v/>
      </c>
      <c r="AK23" s="2">
        <f>IF($B23="","",IF($AG23="","",IF(TODAY()&gt;$AG23,TODAY()-$AG23,0)))</f>
        <v/>
      </c>
      <c r="AL23" s="2">
        <f>IF($B23="","",IF(OR($AQ23="Lost / Closed Out",$AQ23="Long-Term Nurture",$AQ23="Contract Signed"),"No",IF(MAX($AD23,$BA23,$I23)=0,"No",IF(NETWORKDAYS(MAX($AD23,$BA23,$I23),TODAY())-1&gt;=3,"Yes","No"))))</f>
        <v/>
      </c>
      <c r="AW23" s="2">
        <f>IF(OR($B23="",$AQ23="Lost / Closed Out"),"",_xlfn.TEXTJOIN(", ",TRUE,IF($B23="","Property Address",""),IF($AQ23="","Current Stage",""),IF($AF23="","Next Action",""),IF($AG23="","Next Action Due Date",""),IF($AH23="","Assigned Owner",""),IF($H23="","REI BlackBook Link","")))</f>
        <v/>
      </c>
      <c r="AX23" s="2">
        <f>IF($C23="","",IF(COUNTIFS($C$2:$C$1000,$C23,$AQ$2:$AQ$1000,"&lt;&gt;Lost / Closed Out")&gt;1,"Duplicate",""))</f>
        <v/>
      </c>
      <c r="AY23" s="2">
        <f>IF($B23="","",IF($AQ23="Verbal Agreement",100,IF($AQ23="Contract Sent",95,IF($AQ23="Active Negotiation",85,IF($AQ23="Offer Sent",70,IF($AQ23="Offer Preparation",60,IF($AQ23="Visit Completed — Needs Review",50,IF($AQ23="Visit Scheduled",30,IF($AQ23="Long-Term Nurture",10,IF($AQ23="Contract Signed",5,0)))))))))+IF($AK23="",0,MIN($AK23,20))+IF($AL23="Yes",5,0))</f>
        <v/>
      </c>
      <c r="BD23" s="2">
        <f>IF($B23="","",IF($BE23&lt;&gt;"","Exception",IF($AW23&lt;&gt;"","Incomplete","OK")))</f>
        <v/>
      </c>
      <c r="BE23" s="2">
        <f>IF($B23="","",_xlfn.TEXTJOIN(" | ",TRUE,IF(AND($K23="Completed",$M23=""),"Completed visit missing Visit Notes",""),IF(AND($K23="Completed",$S23=""),"Completed visit missing Seller Motivation (or add Exception note)",""),IF(AND($AQ23="Offer Sent",OR($X23="",$AA23="")),"Offer Sent needs Approved Offer Amount + Offer Sent Date",""),IF(AND($AQ23="Active Negotiation",OR($AE23="",$AF23="",$AH23="",$AG23="")),"Active Negotiation needs Last Contact Result + Next Action + Owner + Due Date",""),IF(AND($AQ23="Contract Sent",$AT23="",$R23=""),"Contract Sent needs Contract Sent Date or File Link",""),IF(AND($AQ23="Contract Signed",$AU23=""),"Contract Signed needs Contract Signed Date",""),IF(AND($AQ23="Long-Term Nurture",OR($AG23="",$AG23&lt;=TODAY())),"Long-Term Nurture needs an exact FUTURE follow-up date",""),IF(AND($AQ23="Lost / Closed Out",OR($AR23="",$AS23="")),"Lost / Closed Out needs Final Disposition + Closeout Reason",""),IF(AND($AM23="Sent",$AO23=""),"Gift marked Sent without recorded approval",""),IF($AX23="Duplicate","Duplicate active record for this address","")))</f>
        <v/>
      </c>
    </row>
    <row r="24">
      <c r="C24" s="2">
        <f>IF($B24="","",TRIM(LOWER(SUBSTITUTE(SUBSTITUTE(SUBSTITUTE(SUBSTITUTE(SUBSTITUTE($B24,",",""),".","")," apt "," "),"#","")," unit "," "))))</f>
        <v/>
      </c>
      <c r="AJ24" s="2">
        <f>IF($B24="","",IF(AND($AD24="",$BA24="",$I24=""),"",TODAY()-MAX($AD24,$BA24,$I24)))</f>
        <v/>
      </c>
      <c r="AK24" s="2">
        <f>IF($B24="","",IF($AG24="","",IF(TODAY()&gt;$AG24,TODAY()-$AG24,0)))</f>
        <v/>
      </c>
      <c r="AL24" s="2">
        <f>IF($B24="","",IF(OR($AQ24="Lost / Closed Out",$AQ24="Long-Term Nurture",$AQ24="Contract Signed"),"No",IF(MAX($AD24,$BA24,$I24)=0,"No",IF(NETWORKDAYS(MAX($AD24,$BA24,$I24),TODAY())-1&gt;=3,"Yes","No"))))</f>
        <v/>
      </c>
      <c r="AW24" s="2">
        <f>IF(OR($B24="",$AQ24="Lost / Closed Out"),"",_xlfn.TEXTJOIN(", ",TRUE,IF($B24="","Property Address",""),IF($AQ24="","Current Stage",""),IF($AF24="","Next Action",""),IF($AG24="","Next Action Due Date",""),IF($AH24="","Assigned Owner",""),IF($H24="","REI BlackBook Link","")))</f>
        <v/>
      </c>
      <c r="AX24" s="2">
        <f>IF($C24="","",IF(COUNTIFS($C$2:$C$1000,$C24,$AQ$2:$AQ$1000,"&lt;&gt;Lost / Closed Out")&gt;1,"Duplicate",""))</f>
        <v/>
      </c>
      <c r="AY24" s="2">
        <f>IF($B24="","",IF($AQ24="Verbal Agreement",100,IF($AQ24="Contract Sent",95,IF($AQ24="Active Negotiation",85,IF($AQ24="Offer Sent",70,IF($AQ24="Offer Preparation",60,IF($AQ24="Visit Completed — Needs Review",50,IF($AQ24="Visit Scheduled",30,IF($AQ24="Long-Term Nurture",10,IF($AQ24="Contract Signed",5,0)))))))))+IF($AK24="",0,MIN($AK24,20))+IF($AL24="Yes",5,0))</f>
        <v/>
      </c>
      <c r="BD24" s="2">
        <f>IF($B24="","",IF($BE24&lt;&gt;"","Exception",IF($AW24&lt;&gt;"","Incomplete","OK")))</f>
        <v/>
      </c>
      <c r="BE24" s="2">
        <f>IF($B24="","",_xlfn.TEXTJOIN(" | ",TRUE,IF(AND($K24="Completed",$M24=""),"Completed visit missing Visit Notes",""),IF(AND($K24="Completed",$S24=""),"Completed visit missing Seller Motivation (or add Exception note)",""),IF(AND($AQ24="Offer Sent",OR($X24="",$AA24="")),"Offer Sent needs Approved Offer Amount + Offer Sent Date",""),IF(AND($AQ24="Active Negotiation",OR($AE24="",$AF24="",$AH24="",$AG24="")),"Active Negotiation needs Last Contact Result + Next Action + Owner + Due Date",""),IF(AND($AQ24="Contract Sent",$AT24="",$R24=""),"Contract Sent needs Contract Sent Date or File Link",""),IF(AND($AQ24="Contract Signed",$AU24=""),"Contract Signed needs Contract Signed Date",""),IF(AND($AQ24="Long-Term Nurture",OR($AG24="",$AG24&lt;=TODAY())),"Long-Term Nurture needs an exact FUTURE follow-up date",""),IF(AND($AQ24="Lost / Closed Out",OR($AR24="",$AS24="")),"Lost / Closed Out needs Final Disposition + Closeout Reason",""),IF(AND($AM24="Sent",$AO24=""),"Gift marked Sent without recorded approval",""),IF($AX24="Duplicate","Duplicate active record for this address","")))</f>
        <v/>
      </c>
    </row>
    <row r="25">
      <c r="C25" s="2">
        <f>IF($B25="","",TRIM(LOWER(SUBSTITUTE(SUBSTITUTE(SUBSTITUTE(SUBSTITUTE(SUBSTITUTE($B25,",",""),".","")," apt "," "),"#","")," unit "," "))))</f>
        <v/>
      </c>
      <c r="AJ25" s="2">
        <f>IF($B25="","",IF(AND($AD25="",$BA25="",$I25=""),"",TODAY()-MAX($AD25,$BA25,$I25)))</f>
        <v/>
      </c>
      <c r="AK25" s="2">
        <f>IF($B25="","",IF($AG25="","",IF(TODAY()&gt;$AG25,TODAY()-$AG25,0)))</f>
        <v/>
      </c>
      <c r="AL25" s="2">
        <f>IF($B25="","",IF(OR($AQ25="Lost / Closed Out",$AQ25="Long-Term Nurture",$AQ25="Contract Signed"),"No",IF(MAX($AD25,$BA25,$I25)=0,"No",IF(NETWORKDAYS(MAX($AD25,$BA25,$I25),TODAY())-1&gt;=3,"Yes","No"))))</f>
        <v/>
      </c>
      <c r="AW25" s="2">
        <f>IF(OR($B25="",$AQ25="Lost / Closed Out"),"",_xlfn.TEXTJOIN(", ",TRUE,IF($B25="","Property Address",""),IF($AQ25="","Current Stage",""),IF($AF25="","Next Action",""),IF($AG25="","Next Action Due Date",""),IF($AH25="","Assigned Owner",""),IF($H25="","REI BlackBook Link","")))</f>
        <v/>
      </c>
      <c r="AX25" s="2">
        <f>IF($C25="","",IF(COUNTIFS($C$2:$C$1000,$C25,$AQ$2:$AQ$1000,"&lt;&gt;Lost / Closed Out")&gt;1,"Duplicate",""))</f>
        <v/>
      </c>
      <c r="AY25" s="2">
        <f>IF($B25="","",IF($AQ25="Verbal Agreement",100,IF($AQ25="Contract Sent",95,IF($AQ25="Active Negotiation",85,IF($AQ25="Offer Sent",70,IF($AQ25="Offer Preparation",60,IF($AQ25="Visit Completed — Needs Review",50,IF($AQ25="Visit Scheduled",30,IF($AQ25="Long-Term Nurture",10,IF($AQ25="Contract Signed",5,0)))))))))+IF($AK25="",0,MIN($AK25,20))+IF($AL25="Yes",5,0))</f>
        <v/>
      </c>
      <c r="BD25" s="2">
        <f>IF($B25="","",IF($BE25&lt;&gt;"","Exception",IF($AW25&lt;&gt;"","Incomplete","OK")))</f>
        <v/>
      </c>
      <c r="BE25" s="2">
        <f>IF($B25="","",_xlfn.TEXTJOIN(" | ",TRUE,IF(AND($K25="Completed",$M25=""),"Completed visit missing Visit Notes",""),IF(AND($K25="Completed",$S25=""),"Completed visit missing Seller Motivation (or add Exception note)",""),IF(AND($AQ25="Offer Sent",OR($X25="",$AA25="")),"Offer Sent needs Approved Offer Amount + Offer Sent Date",""),IF(AND($AQ25="Active Negotiation",OR($AE25="",$AF25="",$AH25="",$AG25="")),"Active Negotiation needs Last Contact Result + Next Action + Owner + Due Date",""),IF(AND($AQ25="Contract Sent",$AT25="",$R25=""),"Contract Sent needs Contract Sent Date or File Link",""),IF(AND($AQ25="Contract Signed",$AU25=""),"Contract Signed needs Contract Signed Date",""),IF(AND($AQ25="Long-Term Nurture",OR($AG25="",$AG25&lt;=TODAY())),"Long-Term Nurture needs an exact FUTURE follow-up date",""),IF(AND($AQ25="Lost / Closed Out",OR($AR25="",$AS25="")),"Lost / Closed Out needs Final Disposition + Closeout Reason",""),IF(AND($AM25="Sent",$AO25=""),"Gift marked Sent without recorded approval",""),IF($AX25="Duplicate","Duplicate active record for this address","")))</f>
        <v/>
      </c>
    </row>
    <row r="26">
      <c r="C26" s="2">
        <f>IF($B26="","",TRIM(LOWER(SUBSTITUTE(SUBSTITUTE(SUBSTITUTE(SUBSTITUTE(SUBSTITUTE($B26,",",""),".","")," apt "," "),"#","")," unit "," "))))</f>
        <v/>
      </c>
      <c r="AJ26" s="2">
        <f>IF($B26="","",IF(AND($AD26="",$BA26="",$I26=""),"",TODAY()-MAX($AD26,$BA26,$I26)))</f>
        <v/>
      </c>
      <c r="AK26" s="2">
        <f>IF($B26="","",IF($AG26="","",IF(TODAY()&gt;$AG26,TODAY()-$AG26,0)))</f>
        <v/>
      </c>
      <c r="AL26" s="2">
        <f>IF($B26="","",IF(OR($AQ26="Lost / Closed Out",$AQ26="Long-Term Nurture",$AQ26="Contract Signed"),"No",IF(MAX($AD26,$BA26,$I26)=0,"No",IF(NETWORKDAYS(MAX($AD26,$BA26,$I26),TODAY())-1&gt;=3,"Yes","No"))))</f>
        <v/>
      </c>
      <c r="AW26" s="2">
        <f>IF(OR($B26="",$AQ26="Lost / Closed Out"),"",_xlfn.TEXTJOIN(", ",TRUE,IF($B26="","Property Address",""),IF($AQ26="","Current Stage",""),IF($AF26="","Next Action",""),IF($AG26="","Next Action Due Date",""),IF($AH26="","Assigned Owner",""),IF($H26="","REI BlackBook Link","")))</f>
        <v/>
      </c>
      <c r="AX26" s="2">
        <f>IF($C26="","",IF(COUNTIFS($C$2:$C$1000,$C26,$AQ$2:$AQ$1000,"&lt;&gt;Lost / Closed Out")&gt;1,"Duplicate",""))</f>
        <v/>
      </c>
      <c r="AY26" s="2">
        <f>IF($B26="","",IF($AQ26="Verbal Agreement",100,IF($AQ26="Contract Sent",95,IF($AQ26="Active Negotiation",85,IF($AQ26="Offer Sent",70,IF($AQ26="Offer Preparation",60,IF($AQ26="Visit Completed — Needs Review",50,IF($AQ26="Visit Scheduled",30,IF($AQ26="Long-Term Nurture",10,IF($AQ26="Contract Signed",5,0)))))))))+IF($AK26="",0,MIN($AK26,20))+IF($AL26="Yes",5,0))</f>
        <v/>
      </c>
      <c r="BD26" s="2">
        <f>IF($B26="","",IF($BE26&lt;&gt;"","Exception",IF($AW26&lt;&gt;"","Incomplete","OK")))</f>
        <v/>
      </c>
      <c r="BE26" s="2">
        <f>IF($B26="","",_xlfn.TEXTJOIN(" | ",TRUE,IF(AND($K26="Completed",$M26=""),"Completed visit missing Visit Notes",""),IF(AND($K26="Completed",$S26=""),"Completed visit missing Seller Motivation (or add Exception note)",""),IF(AND($AQ26="Offer Sent",OR($X26="",$AA26="")),"Offer Sent needs Approved Offer Amount + Offer Sent Date",""),IF(AND($AQ26="Active Negotiation",OR($AE26="",$AF26="",$AH26="",$AG26="")),"Active Negotiation needs Last Contact Result + Next Action + Owner + Due Date",""),IF(AND($AQ26="Contract Sent",$AT26="",$R26=""),"Contract Sent needs Contract Sent Date or File Link",""),IF(AND($AQ26="Contract Signed",$AU26=""),"Contract Signed needs Contract Signed Date",""),IF(AND($AQ26="Long-Term Nurture",OR($AG26="",$AG26&lt;=TODAY())),"Long-Term Nurture needs an exact FUTURE follow-up date",""),IF(AND($AQ26="Lost / Closed Out",OR($AR26="",$AS26="")),"Lost / Closed Out needs Final Disposition + Closeout Reason",""),IF(AND($AM26="Sent",$AO26=""),"Gift marked Sent without recorded approval",""),IF($AX26="Duplicate","Duplicate active record for this address","")))</f>
        <v/>
      </c>
    </row>
    <row r="27">
      <c r="C27" s="2">
        <f>IF($B27="","",TRIM(LOWER(SUBSTITUTE(SUBSTITUTE(SUBSTITUTE(SUBSTITUTE(SUBSTITUTE($B27,",",""),".","")," apt "," "),"#","")," unit "," "))))</f>
        <v/>
      </c>
      <c r="AJ27" s="2">
        <f>IF($B27="","",IF(AND($AD27="",$BA27="",$I27=""),"",TODAY()-MAX($AD27,$BA27,$I27)))</f>
        <v/>
      </c>
      <c r="AK27" s="2">
        <f>IF($B27="","",IF($AG27="","",IF(TODAY()&gt;$AG27,TODAY()-$AG27,0)))</f>
        <v/>
      </c>
      <c r="AL27" s="2">
        <f>IF($B27="","",IF(OR($AQ27="Lost / Closed Out",$AQ27="Long-Term Nurture",$AQ27="Contract Signed"),"No",IF(MAX($AD27,$BA27,$I27)=0,"No",IF(NETWORKDAYS(MAX($AD27,$BA27,$I27),TODAY())-1&gt;=3,"Yes","No"))))</f>
        <v/>
      </c>
      <c r="AW27" s="2">
        <f>IF(OR($B27="",$AQ27="Lost / Closed Out"),"",_xlfn.TEXTJOIN(", ",TRUE,IF($B27="","Property Address",""),IF($AQ27="","Current Stage",""),IF($AF27="","Next Action",""),IF($AG27="","Next Action Due Date",""),IF($AH27="","Assigned Owner",""),IF($H27="","REI BlackBook Link","")))</f>
        <v/>
      </c>
      <c r="AX27" s="2">
        <f>IF($C27="","",IF(COUNTIFS($C$2:$C$1000,$C27,$AQ$2:$AQ$1000,"&lt;&gt;Lost / Closed Out")&gt;1,"Duplicate",""))</f>
        <v/>
      </c>
      <c r="AY27" s="2">
        <f>IF($B27="","",IF($AQ27="Verbal Agreement",100,IF($AQ27="Contract Sent",95,IF($AQ27="Active Negotiation",85,IF($AQ27="Offer Sent",70,IF($AQ27="Offer Preparation",60,IF($AQ27="Visit Completed — Needs Review",50,IF($AQ27="Visit Scheduled",30,IF($AQ27="Long-Term Nurture",10,IF($AQ27="Contract Signed",5,0)))))))))+IF($AK27="",0,MIN($AK27,20))+IF($AL27="Yes",5,0))</f>
        <v/>
      </c>
      <c r="BD27" s="2">
        <f>IF($B27="","",IF($BE27&lt;&gt;"","Exception",IF($AW27&lt;&gt;"","Incomplete","OK")))</f>
        <v/>
      </c>
      <c r="BE27" s="2">
        <f>IF($B27="","",_xlfn.TEXTJOIN(" | ",TRUE,IF(AND($K27="Completed",$M27=""),"Completed visit missing Visit Notes",""),IF(AND($K27="Completed",$S27=""),"Completed visit missing Seller Motivation (or add Exception note)",""),IF(AND($AQ27="Offer Sent",OR($X27="",$AA27="")),"Offer Sent needs Approved Offer Amount + Offer Sent Date",""),IF(AND($AQ27="Active Negotiation",OR($AE27="",$AF27="",$AH27="",$AG27="")),"Active Negotiation needs Last Contact Result + Next Action + Owner + Due Date",""),IF(AND($AQ27="Contract Sent",$AT27="",$R27=""),"Contract Sent needs Contract Sent Date or File Link",""),IF(AND($AQ27="Contract Signed",$AU27=""),"Contract Signed needs Contract Signed Date",""),IF(AND($AQ27="Long-Term Nurture",OR($AG27="",$AG27&lt;=TODAY())),"Long-Term Nurture needs an exact FUTURE follow-up date",""),IF(AND($AQ27="Lost / Closed Out",OR($AR27="",$AS27="")),"Lost / Closed Out needs Final Disposition + Closeout Reason",""),IF(AND($AM27="Sent",$AO27=""),"Gift marked Sent without recorded approval",""),IF($AX27="Duplicate","Duplicate active record for this address","")))</f>
        <v/>
      </c>
    </row>
    <row r="28">
      <c r="C28" s="2">
        <f>IF($B28="","",TRIM(LOWER(SUBSTITUTE(SUBSTITUTE(SUBSTITUTE(SUBSTITUTE(SUBSTITUTE($B28,",",""),".","")," apt "," "),"#","")," unit "," "))))</f>
        <v/>
      </c>
      <c r="AJ28" s="2">
        <f>IF($B28="","",IF(AND($AD28="",$BA28="",$I28=""),"",TODAY()-MAX($AD28,$BA28,$I28)))</f>
        <v/>
      </c>
      <c r="AK28" s="2">
        <f>IF($B28="","",IF($AG28="","",IF(TODAY()&gt;$AG28,TODAY()-$AG28,0)))</f>
        <v/>
      </c>
      <c r="AL28" s="2">
        <f>IF($B28="","",IF(OR($AQ28="Lost / Closed Out",$AQ28="Long-Term Nurture",$AQ28="Contract Signed"),"No",IF(MAX($AD28,$BA28,$I28)=0,"No",IF(NETWORKDAYS(MAX($AD28,$BA28,$I28),TODAY())-1&gt;=3,"Yes","No"))))</f>
        <v/>
      </c>
      <c r="AW28" s="2">
        <f>IF(OR($B28="",$AQ28="Lost / Closed Out"),"",_xlfn.TEXTJOIN(", ",TRUE,IF($B28="","Property Address",""),IF($AQ28="","Current Stage",""),IF($AF28="","Next Action",""),IF($AG28="","Next Action Due Date",""),IF($AH28="","Assigned Owner",""),IF($H28="","REI BlackBook Link","")))</f>
        <v/>
      </c>
      <c r="AX28" s="2">
        <f>IF($C28="","",IF(COUNTIFS($C$2:$C$1000,$C28,$AQ$2:$AQ$1000,"&lt;&gt;Lost / Closed Out")&gt;1,"Duplicate",""))</f>
        <v/>
      </c>
      <c r="AY28" s="2">
        <f>IF($B28="","",IF($AQ28="Verbal Agreement",100,IF($AQ28="Contract Sent",95,IF($AQ28="Active Negotiation",85,IF($AQ28="Offer Sent",70,IF($AQ28="Offer Preparation",60,IF($AQ28="Visit Completed — Needs Review",50,IF($AQ28="Visit Scheduled",30,IF($AQ28="Long-Term Nurture",10,IF($AQ28="Contract Signed",5,0)))))))))+IF($AK28="",0,MIN($AK28,20))+IF($AL28="Yes",5,0))</f>
        <v/>
      </c>
      <c r="BD28" s="2">
        <f>IF($B28="","",IF($BE28&lt;&gt;"","Exception",IF($AW28&lt;&gt;"","Incomplete","OK")))</f>
        <v/>
      </c>
      <c r="BE28" s="2">
        <f>IF($B28="","",_xlfn.TEXTJOIN(" | ",TRUE,IF(AND($K28="Completed",$M28=""),"Completed visit missing Visit Notes",""),IF(AND($K28="Completed",$S28=""),"Completed visit missing Seller Motivation (or add Exception note)",""),IF(AND($AQ28="Offer Sent",OR($X28="",$AA28="")),"Offer Sent needs Approved Offer Amount + Offer Sent Date",""),IF(AND($AQ28="Active Negotiation",OR($AE28="",$AF28="",$AH28="",$AG28="")),"Active Negotiation needs Last Contact Result + Next Action + Owner + Due Date",""),IF(AND($AQ28="Contract Sent",$AT28="",$R28=""),"Contract Sent needs Contract Sent Date or File Link",""),IF(AND($AQ28="Contract Signed",$AU28=""),"Contract Signed needs Contract Signed Date",""),IF(AND($AQ28="Long-Term Nurture",OR($AG28="",$AG28&lt;=TODAY())),"Long-Term Nurture needs an exact FUTURE follow-up date",""),IF(AND($AQ28="Lost / Closed Out",OR($AR28="",$AS28="")),"Lost / Closed Out needs Final Disposition + Closeout Reason",""),IF(AND($AM28="Sent",$AO28=""),"Gift marked Sent without recorded approval",""),IF($AX28="Duplicate","Duplicate active record for this address","")))</f>
        <v/>
      </c>
    </row>
    <row r="29">
      <c r="C29" s="2">
        <f>IF($B29="","",TRIM(LOWER(SUBSTITUTE(SUBSTITUTE(SUBSTITUTE(SUBSTITUTE(SUBSTITUTE($B29,",",""),".","")," apt "," "),"#","")," unit "," "))))</f>
        <v/>
      </c>
      <c r="AJ29" s="2">
        <f>IF($B29="","",IF(AND($AD29="",$BA29="",$I29=""),"",TODAY()-MAX($AD29,$BA29,$I29)))</f>
        <v/>
      </c>
      <c r="AK29" s="2">
        <f>IF($B29="","",IF($AG29="","",IF(TODAY()&gt;$AG29,TODAY()-$AG29,0)))</f>
        <v/>
      </c>
      <c r="AL29" s="2">
        <f>IF($B29="","",IF(OR($AQ29="Lost / Closed Out",$AQ29="Long-Term Nurture",$AQ29="Contract Signed"),"No",IF(MAX($AD29,$BA29,$I29)=0,"No",IF(NETWORKDAYS(MAX($AD29,$BA29,$I29),TODAY())-1&gt;=3,"Yes","No"))))</f>
        <v/>
      </c>
      <c r="AW29" s="2">
        <f>IF(OR($B29="",$AQ29="Lost / Closed Out"),"",_xlfn.TEXTJOIN(", ",TRUE,IF($B29="","Property Address",""),IF($AQ29="","Current Stage",""),IF($AF29="","Next Action",""),IF($AG29="","Next Action Due Date",""),IF($AH29="","Assigned Owner",""),IF($H29="","REI BlackBook Link","")))</f>
        <v/>
      </c>
      <c r="AX29" s="2">
        <f>IF($C29="","",IF(COUNTIFS($C$2:$C$1000,$C29,$AQ$2:$AQ$1000,"&lt;&gt;Lost / Closed Out")&gt;1,"Duplicate",""))</f>
        <v/>
      </c>
      <c r="AY29" s="2">
        <f>IF($B29="","",IF($AQ29="Verbal Agreement",100,IF($AQ29="Contract Sent",95,IF($AQ29="Active Negotiation",85,IF($AQ29="Offer Sent",70,IF($AQ29="Offer Preparation",60,IF($AQ29="Visit Completed — Needs Review",50,IF($AQ29="Visit Scheduled",30,IF($AQ29="Long-Term Nurture",10,IF($AQ29="Contract Signed",5,0)))))))))+IF($AK29="",0,MIN($AK29,20))+IF($AL29="Yes",5,0))</f>
        <v/>
      </c>
      <c r="BD29" s="2">
        <f>IF($B29="","",IF($BE29&lt;&gt;"","Exception",IF($AW29&lt;&gt;"","Incomplete","OK")))</f>
        <v/>
      </c>
      <c r="BE29" s="2">
        <f>IF($B29="","",_xlfn.TEXTJOIN(" | ",TRUE,IF(AND($K29="Completed",$M29=""),"Completed visit missing Visit Notes",""),IF(AND($K29="Completed",$S29=""),"Completed visit missing Seller Motivation (or add Exception note)",""),IF(AND($AQ29="Offer Sent",OR($X29="",$AA29="")),"Offer Sent needs Approved Offer Amount + Offer Sent Date",""),IF(AND($AQ29="Active Negotiation",OR($AE29="",$AF29="",$AH29="",$AG29="")),"Active Negotiation needs Last Contact Result + Next Action + Owner + Due Date",""),IF(AND($AQ29="Contract Sent",$AT29="",$R29=""),"Contract Sent needs Contract Sent Date or File Link",""),IF(AND($AQ29="Contract Signed",$AU29=""),"Contract Signed needs Contract Signed Date",""),IF(AND($AQ29="Long-Term Nurture",OR($AG29="",$AG29&lt;=TODAY())),"Long-Term Nurture needs an exact FUTURE follow-up date",""),IF(AND($AQ29="Lost / Closed Out",OR($AR29="",$AS29="")),"Lost / Closed Out needs Final Disposition + Closeout Reason",""),IF(AND($AM29="Sent",$AO29=""),"Gift marked Sent without recorded approval",""),IF($AX29="Duplicate","Duplicate active record for this address","")))</f>
        <v/>
      </c>
    </row>
    <row r="30">
      <c r="C30" s="2">
        <f>IF($B30="","",TRIM(LOWER(SUBSTITUTE(SUBSTITUTE(SUBSTITUTE(SUBSTITUTE(SUBSTITUTE($B30,",",""),".","")," apt "," "),"#","")," unit "," "))))</f>
        <v/>
      </c>
      <c r="AJ30" s="2">
        <f>IF($B30="","",IF(AND($AD30="",$BA30="",$I30=""),"",TODAY()-MAX($AD30,$BA30,$I30)))</f>
        <v/>
      </c>
      <c r="AK30" s="2">
        <f>IF($B30="","",IF($AG30="","",IF(TODAY()&gt;$AG30,TODAY()-$AG30,0)))</f>
        <v/>
      </c>
      <c r="AL30" s="2">
        <f>IF($B30="","",IF(OR($AQ30="Lost / Closed Out",$AQ30="Long-Term Nurture",$AQ30="Contract Signed"),"No",IF(MAX($AD30,$BA30,$I30)=0,"No",IF(NETWORKDAYS(MAX($AD30,$BA30,$I30),TODAY())-1&gt;=3,"Yes","No"))))</f>
        <v/>
      </c>
      <c r="AW30" s="2">
        <f>IF(OR($B30="",$AQ30="Lost / Closed Out"),"",_xlfn.TEXTJOIN(", ",TRUE,IF($B30="","Property Address",""),IF($AQ30="","Current Stage",""),IF($AF30="","Next Action",""),IF($AG30="","Next Action Due Date",""),IF($AH30="","Assigned Owner",""),IF($H30="","REI BlackBook Link","")))</f>
        <v/>
      </c>
      <c r="AX30" s="2">
        <f>IF($C30="","",IF(COUNTIFS($C$2:$C$1000,$C30,$AQ$2:$AQ$1000,"&lt;&gt;Lost / Closed Out")&gt;1,"Duplicate",""))</f>
        <v/>
      </c>
      <c r="AY30" s="2">
        <f>IF($B30="","",IF($AQ30="Verbal Agreement",100,IF($AQ30="Contract Sent",95,IF($AQ30="Active Negotiation",85,IF($AQ30="Offer Sent",70,IF($AQ30="Offer Preparation",60,IF($AQ30="Visit Completed — Needs Review",50,IF($AQ30="Visit Scheduled",30,IF($AQ30="Long-Term Nurture",10,IF($AQ30="Contract Signed",5,0)))))))))+IF($AK30="",0,MIN($AK30,20))+IF($AL30="Yes",5,0))</f>
        <v/>
      </c>
      <c r="BD30" s="2">
        <f>IF($B30="","",IF($BE30&lt;&gt;"","Exception",IF($AW30&lt;&gt;"","Incomplete","OK")))</f>
        <v/>
      </c>
      <c r="BE30" s="2">
        <f>IF($B30="","",_xlfn.TEXTJOIN(" | ",TRUE,IF(AND($K30="Completed",$M30=""),"Completed visit missing Visit Notes",""),IF(AND($K30="Completed",$S30=""),"Completed visit missing Seller Motivation (or add Exception note)",""),IF(AND($AQ30="Offer Sent",OR($X30="",$AA30="")),"Offer Sent needs Approved Offer Amount + Offer Sent Date",""),IF(AND($AQ30="Active Negotiation",OR($AE30="",$AF30="",$AH30="",$AG30="")),"Active Negotiation needs Last Contact Result + Next Action + Owner + Due Date",""),IF(AND($AQ30="Contract Sent",$AT30="",$R30=""),"Contract Sent needs Contract Sent Date or File Link",""),IF(AND($AQ30="Contract Signed",$AU30=""),"Contract Signed needs Contract Signed Date",""),IF(AND($AQ30="Long-Term Nurture",OR($AG30="",$AG30&lt;=TODAY())),"Long-Term Nurture needs an exact FUTURE follow-up date",""),IF(AND($AQ30="Lost / Closed Out",OR($AR30="",$AS30="")),"Lost / Closed Out needs Final Disposition + Closeout Reason",""),IF(AND($AM30="Sent",$AO30=""),"Gift marked Sent without recorded approval",""),IF($AX30="Duplicate","Duplicate active record for this address","")))</f>
        <v/>
      </c>
    </row>
    <row r="31">
      <c r="C31" s="2">
        <f>IF($B31="","",TRIM(LOWER(SUBSTITUTE(SUBSTITUTE(SUBSTITUTE(SUBSTITUTE(SUBSTITUTE($B31,",",""),".","")," apt "," "),"#","")," unit "," "))))</f>
        <v/>
      </c>
      <c r="AJ31" s="2">
        <f>IF($B31="","",IF(AND($AD31="",$BA31="",$I31=""),"",TODAY()-MAX($AD31,$BA31,$I31)))</f>
        <v/>
      </c>
      <c r="AK31" s="2">
        <f>IF($B31="","",IF($AG31="","",IF(TODAY()&gt;$AG31,TODAY()-$AG31,0)))</f>
        <v/>
      </c>
      <c r="AL31" s="2">
        <f>IF($B31="","",IF(OR($AQ31="Lost / Closed Out",$AQ31="Long-Term Nurture",$AQ31="Contract Signed"),"No",IF(MAX($AD31,$BA31,$I31)=0,"No",IF(NETWORKDAYS(MAX($AD31,$BA31,$I31),TODAY())-1&gt;=3,"Yes","No"))))</f>
        <v/>
      </c>
      <c r="AW31" s="2">
        <f>IF(OR($B31="",$AQ31="Lost / Closed Out"),"",_xlfn.TEXTJOIN(", ",TRUE,IF($B31="","Property Address",""),IF($AQ31="","Current Stage",""),IF($AF31="","Next Action",""),IF($AG31="","Next Action Due Date",""),IF($AH31="","Assigned Owner",""),IF($H31="","REI BlackBook Link","")))</f>
        <v/>
      </c>
      <c r="AX31" s="2">
        <f>IF($C31="","",IF(COUNTIFS($C$2:$C$1000,$C31,$AQ$2:$AQ$1000,"&lt;&gt;Lost / Closed Out")&gt;1,"Duplicate",""))</f>
        <v/>
      </c>
      <c r="AY31" s="2">
        <f>IF($B31="","",IF($AQ31="Verbal Agreement",100,IF($AQ31="Contract Sent",95,IF($AQ31="Active Negotiation",85,IF($AQ31="Offer Sent",70,IF($AQ31="Offer Preparation",60,IF($AQ31="Visit Completed — Needs Review",50,IF($AQ31="Visit Scheduled",30,IF($AQ31="Long-Term Nurture",10,IF($AQ31="Contract Signed",5,0)))))))))+IF($AK31="",0,MIN($AK31,20))+IF($AL31="Yes",5,0))</f>
        <v/>
      </c>
      <c r="BD31" s="2">
        <f>IF($B31="","",IF($BE31&lt;&gt;"","Exception",IF($AW31&lt;&gt;"","Incomplete","OK")))</f>
        <v/>
      </c>
      <c r="BE31" s="2">
        <f>IF($B31="","",_xlfn.TEXTJOIN(" | ",TRUE,IF(AND($K31="Completed",$M31=""),"Completed visit missing Visit Notes",""),IF(AND($K31="Completed",$S31=""),"Completed visit missing Seller Motivation (or add Exception note)",""),IF(AND($AQ31="Offer Sent",OR($X31="",$AA31="")),"Offer Sent needs Approved Offer Amount + Offer Sent Date",""),IF(AND($AQ31="Active Negotiation",OR($AE31="",$AF31="",$AH31="",$AG31="")),"Active Negotiation needs Last Contact Result + Next Action + Owner + Due Date",""),IF(AND($AQ31="Contract Sent",$AT31="",$R31=""),"Contract Sent needs Contract Sent Date or File Link",""),IF(AND($AQ31="Contract Signed",$AU31=""),"Contract Signed needs Contract Signed Date",""),IF(AND($AQ31="Long-Term Nurture",OR($AG31="",$AG31&lt;=TODAY())),"Long-Term Nurture needs an exact FUTURE follow-up date",""),IF(AND($AQ31="Lost / Closed Out",OR($AR31="",$AS31="")),"Lost / Closed Out needs Final Disposition + Closeout Reason",""),IF(AND($AM31="Sent",$AO31=""),"Gift marked Sent without recorded approval",""),IF($AX31="Duplicate","Duplicate active record for this address","")))</f>
        <v/>
      </c>
    </row>
    <row r="32">
      <c r="C32" s="2">
        <f>IF($B32="","",TRIM(LOWER(SUBSTITUTE(SUBSTITUTE(SUBSTITUTE(SUBSTITUTE(SUBSTITUTE($B32,",",""),".","")," apt "," "),"#","")," unit "," "))))</f>
        <v/>
      </c>
      <c r="AJ32" s="2">
        <f>IF($B32="","",IF(AND($AD32="",$BA32="",$I32=""),"",TODAY()-MAX($AD32,$BA32,$I32)))</f>
        <v/>
      </c>
      <c r="AK32" s="2">
        <f>IF($B32="","",IF($AG32="","",IF(TODAY()&gt;$AG32,TODAY()-$AG32,0)))</f>
        <v/>
      </c>
      <c r="AL32" s="2">
        <f>IF($B32="","",IF(OR($AQ32="Lost / Closed Out",$AQ32="Long-Term Nurture",$AQ32="Contract Signed"),"No",IF(MAX($AD32,$BA32,$I32)=0,"No",IF(NETWORKDAYS(MAX($AD32,$BA32,$I32),TODAY())-1&gt;=3,"Yes","No"))))</f>
        <v/>
      </c>
      <c r="AW32" s="2">
        <f>IF(OR($B32="",$AQ32="Lost / Closed Out"),"",_xlfn.TEXTJOIN(", ",TRUE,IF($B32="","Property Address",""),IF($AQ32="","Current Stage",""),IF($AF32="","Next Action",""),IF($AG32="","Next Action Due Date",""),IF($AH32="","Assigned Owner",""),IF($H32="","REI BlackBook Link","")))</f>
        <v/>
      </c>
      <c r="AX32" s="2">
        <f>IF($C32="","",IF(COUNTIFS($C$2:$C$1000,$C32,$AQ$2:$AQ$1000,"&lt;&gt;Lost / Closed Out")&gt;1,"Duplicate",""))</f>
        <v/>
      </c>
      <c r="AY32" s="2">
        <f>IF($B32="","",IF($AQ32="Verbal Agreement",100,IF($AQ32="Contract Sent",95,IF($AQ32="Active Negotiation",85,IF($AQ32="Offer Sent",70,IF($AQ32="Offer Preparation",60,IF($AQ32="Visit Completed — Needs Review",50,IF($AQ32="Visit Scheduled",30,IF($AQ32="Long-Term Nurture",10,IF($AQ32="Contract Signed",5,0)))))))))+IF($AK32="",0,MIN($AK32,20))+IF($AL32="Yes",5,0))</f>
        <v/>
      </c>
      <c r="BD32" s="2">
        <f>IF($B32="","",IF($BE32&lt;&gt;"","Exception",IF($AW32&lt;&gt;"","Incomplete","OK")))</f>
        <v/>
      </c>
      <c r="BE32" s="2">
        <f>IF($B32="","",_xlfn.TEXTJOIN(" | ",TRUE,IF(AND($K32="Completed",$M32=""),"Completed visit missing Visit Notes",""),IF(AND($K32="Completed",$S32=""),"Completed visit missing Seller Motivation (or add Exception note)",""),IF(AND($AQ32="Offer Sent",OR($X32="",$AA32="")),"Offer Sent needs Approved Offer Amount + Offer Sent Date",""),IF(AND($AQ32="Active Negotiation",OR($AE32="",$AF32="",$AH32="",$AG32="")),"Active Negotiation needs Last Contact Result + Next Action + Owner + Due Date",""),IF(AND($AQ32="Contract Sent",$AT32="",$R32=""),"Contract Sent needs Contract Sent Date or File Link",""),IF(AND($AQ32="Contract Signed",$AU32=""),"Contract Signed needs Contract Signed Date",""),IF(AND($AQ32="Long-Term Nurture",OR($AG32="",$AG32&lt;=TODAY())),"Long-Term Nurture needs an exact FUTURE follow-up date",""),IF(AND($AQ32="Lost / Closed Out",OR($AR32="",$AS32="")),"Lost / Closed Out needs Final Disposition + Closeout Reason",""),IF(AND($AM32="Sent",$AO32=""),"Gift marked Sent without recorded approval",""),IF($AX32="Duplicate","Duplicate active record for this address","")))</f>
        <v/>
      </c>
    </row>
    <row r="33">
      <c r="C33" s="2">
        <f>IF($B33="","",TRIM(LOWER(SUBSTITUTE(SUBSTITUTE(SUBSTITUTE(SUBSTITUTE(SUBSTITUTE($B33,",",""),".","")," apt "," "),"#","")," unit "," "))))</f>
        <v/>
      </c>
      <c r="AJ33" s="2">
        <f>IF($B33="","",IF(AND($AD33="",$BA33="",$I33=""),"",TODAY()-MAX($AD33,$BA33,$I33)))</f>
        <v/>
      </c>
      <c r="AK33" s="2">
        <f>IF($B33="","",IF($AG33="","",IF(TODAY()&gt;$AG33,TODAY()-$AG33,0)))</f>
        <v/>
      </c>
      <c r="AL33" s="2">
        <f>IF($B33="","",IF(OR($AQ33="Lost / Closed Out",$AQ33="Long-Term Nurture",$AQ33="Contract Signed"),"No",IF(MAX($AD33,$BA33,$I33)=0,"No",IF(NETWORKDAYS(MAX($AD33,$BA33,$I33),TODAY())-1&gt;=3,"Yes","No"))))</f>
        <v/>
      </c>
      <c r="AW33" s="2">
        <f>IF(OR($B33="",$AQ33="Lost / Closed Out"),"",_xlfn.TEXTJOIN(", ",TRUE,IF($B33="","Property Address",""),IF($AQ33="","Current Stage",""),IF($AF33="","Next Action",""),IF($AG33="","Next Action Due Date",""),IF($AH33="","Assigned Owner",""),IF($H33="","REI BlackBook Link","")))</f>
        <v/>
      </c>
      <c r="AX33" s="2">
        <f>IF($C33="","",IF(COUNTIFS($C$2:$C$1000,$C33,$AQ$2:$AQ$1000,"&lt;&gt;Lost / Closed Out")&gt;1,"Duplicate",""))</f>
        <v/>
      </c>
      <c r="AY33" s="2">
        <f>IF($B33="","",IF($AQ33="Verbal Agreement",100,IF($AQ33="Contract Sent",95,IF($AQ33="Active Negotiation",85,IF($AQ33="Offer Sent",70,IF($AQ33="Offer Preparation",60,IF($AQ33="Visit Completed — Needs Review",50,IF($AQ33="Visit Scheduled",30,IF($AQ33="Long-Term Nurture",10,IF($AQ33="Contract Signed",5,0)))))))))+IF($AK33="",0,MIN($AK33,20))+IF($AL33="Yes",5,0))</f>
        <v/>
      </c>
      <c r="BD33" s="2">
        <f>IF($B33="","",IF($BE33&lt;&gt;"","Exception",IF($AW33&lt;&gt;"","Incomplete","OK")))</f>
        <v/>
      </c>
      <c r="BE33" s="2">
        <f>IF($B33="","",_xlfn.TEXTJOIN(" | ",TRUE,IF(AND($K33="Completed",$M33=""),"Completed visit missing Visit Notes",""),IF(AND($K33="Completed",$S33=""),"Completed visit missing Seller Motivation (or add Exception note)",""),IF(AND($AQ33="Offer Sent",OR($X33="",$AA33="")),"Offer Sent needs Approved Offer Amount + Offer Sent Date",""),IF(AND($AQ33="Active Negotiation",OR($AE33="",$AF33="",$AH33="",$AG33="")),"Active Negotiation needs Last Contact Result + Next Action + Owner + Due Date",""),IF(AND($AQ33="Contract Sent",$AT33="",$R33=""),"Contract Sent needs Contract Sent Date or File Link",""),IF(AND($AQ33="Contract Signed",$AU33=""),"Contract Signed needs Contract Signed Date",""),IF(AND($AQ33="Long-Term Nurture",OR($AG33="",$AG33&lt;=TODAY())),"Long-Term Nurture needs an exact FUTURE follow-up date",""),IF(AND($AQ33="Lost / Closed Out",OR($AR33="",$AS33="")),"Lost / Closed Out needs Final Disposition + Closeout Reason",""),IF(AND($AM33="Sent",$AO33=""),"Gift marked Sent without recorded approval",""),IF($AX33="Duplicate","Duplicate active record for this address","")))</f>
        <v/>
      </c>
    </row>
    <row r="34">
      <c r="C34" s="2">
        <f>IF($B34="","",TRIM(LOWER(SUBSTITUTE(SUBSTITUTE(SUBSTITUTE(SUBSTITUTE(SUBSTITUTE($B34,",",""),".","")," apt "," "),"#","")," unit "," "))))</f>
        <v/>
      </c>
      <c r="AJ34" s="2">
        <f>IF($B34="","",IF(AND($AD34="",$BA34="",$I34=""),"",TODAY()-MAX($AD34,$BA34,$I34)))</f>
        <v/>
      </c>
      <c r="AK34" s="2">
        <f>IF($B34="","",IF($AG34="","",IF(TODAY()&gt;$AG34,TODAY()-$AG34,0)))</f>
        <v/>
      </c>
      <c r="AL34" s="2">
        <f>IF($B34="","",IF(OR($AQ34="Lost / Closed Out",$AQ34="Long-Term Nurture",$AQ34="Contract Signed"),"No",IF(MAX($AD34,$BA34,$I34)=0,"No",IF(NETWORKDAYS(MAX($AD34,$BA34,$I34),TODAY())-1&gt;=3,"Yes","No"))))</f>
        <v/>
      </c>
      <c r="AW34" s="2">
        <f>IF(OR($B34="",$AQ34="Lost / Closed Out"),"",_xlfn.TEXTJOIN(", ",TRUE,IF($B34="","Property Address",""),IF($AQ34="","Current Stage",""),IF($AF34="","Next Action",""),IF($AG34="","Next Action Due Date",""),IF($AH34="","Assigned Owner",""),IF($H34="","REI BlackBook Link","")))</f>
        <v/>
      </c>
      <c r="AX34" s="2">
        <f>IF($C34="","",IF(COUNTIFS($C$2:$C$1000,$C34,$AQ$2:$AQ$1000,"&lt;&gt;Lost / Closed Out")&gt;1,"Duplicate",""))</f>
        <v/>
      </c>
      <c r="AY34" s="2">
        <f>IF($B34="","",IF($AQ34="Verbal Agreement",100,IF($AQ34="Contract Sent",95,IF($AQ34="Active Negotiation",85,IF($AQ34="Offer Sent",70,IF($AQ34="Offer Preparation",60,IF($AQ34="Visit Completed — Needs Review",50,IF($AQ34="Visit Scheduled",30,IF($AQ34="Long-Term Nurture",10,IF($AQ34="Contract Signed",5,0)))))))))+IF($AK34="",0,MIN($AK34,20))+IF($AL34="Yes",5,0))</f>
        <v/>
      </c>
      <c r="BD34" s="2">
        <f>IF($B34="","",IF($BE34&lt;&gt;"","Exception",IF($AW34&lt;&gt;"","Incomplete","OK")))</f>
        <v/>
      </c>
      <c r="BE34" s="2">
        <f>IF($B34="","",_xlfn.TEXTJOIN(" | ",TRUE,IF(AND($K34="Completed",$M34=""),"Completed visit missing Visit Notes",""),IF(AND($K34="Completed",$S34=""),"Completed visit missing Seller Motivation (or add Exception note)",""),IF(AND($AQ34="Offer Sent",OR($X34="",$AA34="")),"Offer Sent needs Approved Offer Amount + Offer Sent Date",""),IF(AND($AQ34="Active Negotiation",OR($AE34="",$AF34="",$AH34="",$AG34="")),"Active Negotiation needs Last Contact Result + Next Action + Owner + Due Date",""),IF(AND($AQ34="Contract Sent",$AT34="",$R34=""),"Contract Sent needs Contract Sent Date or File Link",""),IF(AND($AQ34="Contract Signed",$AU34=""),"Contract Signed needs Contract Signed Date",""),IF(AND($AQ34="Long-Term Nurture",OR($AG34="",$AG34&lt;=TODAY())),"Long-Term Nurture needs an exact FUTURE follow-up date",""),IF(AND($AQ34="Lost / Closed Out",OR($AR34="",$AS34="")),"Lost / Closed Out needs Final Disposition + Closeout Reason",""),IF(AND($AM34="Sent",$AO34=""),"Gift marked Sent without recorded approval",""),IF($AX34="Duplicate","Duplicate active record for this address","")))</f>
        <v/>
      </c>
    </row>
    <row r="35">
      <c r="C35" s="2">
        <f>IF($B35="","",TRIM(LOWER(SUBSTITUTE(SUBSTITUTE(SUBSTITUTE(SUBSTITUTE(SUBSTITUTE($B35,",",""),".","")," apt "," "),"#","")," unit "," "))))</f>
        <v/>
      </c>
      <c r="AJ35" s="2">
        <f>IF($B35="","",IF(AND($AD35="",$BA35="",$I35=""),"",TODAY()-MAX($AD35,$BA35,$I35)))</f>
        <v/>
      </c>
      <c r="AK35" s="2">
        <f>IF($B35="","",IF($AG35="","",IF(TODAY()&gt;$AG35,TODAY()-$AG35,0)))</f>
        <v/>
      </c>
      <c r="AL35" s="2">
        <f>IF($B35="","",IF(OR($AQ35="Lost / Closed Out",$AQ35="Long-Term Nurture",$AQ35="Contract Signed"),"No",IF(MAX($AD35,$BA35,$I35)=0,"No",IF(NETWORKDAYS(MAX($AD35,$BA35,$I35),TODAY())-1&gt;=3,"Yes","No"))))</f>
        <v/>
      </c>
      <c r="AW35" s="2">
        <f>IF(OR($B35="",$AQ35="Lost / Closed Out"),"",_xlfn.TEXTJOIN(", ",TRUE,IF($B35="","Property Address",""),IF($AQ35="","Current Stage",""),IF($AF35="","Next Action",""),IF($AG35="","Next Action Due Date",""),IF($AH35="","Assigned Owner",""),IF($H35="","REI BlackBook Link","")))</f>
        <v/>
      </c>
      <c r="AX35" s="2">
        <f>IF($C35="","",IF(COUNTIFS($C$2:$C$1000,$C35,$AQ$2:$AQ$1000,"&lt;&gt;Lost / Closed Out")&gt;1,"Duplicate",""))</f>
        <v/>
      </c>
      <c r="AY35" s="2">
        <f>IF($B35="","",IF($AQ35="Verbal Agreement",100,IF($AQ35="Contract Sent",95,IF($AQ35="Active Negotiation",85,IF($AQ35="Offer Sent",70,IF($AQ35="Offer Preparation",60,IF($AQ35="Visit Completed — Needs Review",50,IF($AQ35="Visit Scheduled",30,IF($AQ35="Long-Term Nurture",10,IF($AQ35="Contract Signed",5,0)))))))))+IF($AK35="",0,MIN($AK35,20))+IF($AL35="Yes",5,0))</f>
        <v/>
      </c>
      <c r="BD35" s="2">
        <f>IF($B35="","",IF($BE35&lt;&gt;"","Exception",IF($AW35&lt;&gt;"","Incomplete","OK")))</f>
        <v/>
      </c>
      <c r="BE35" s="2">
        <f>IF($B35="","",_xlfn.TEXTJOIN(" | ",TRUE,IF(AND($K35="Completed",$M35=""),"Completed visit missing Visit Notes",""),IF(AND($K35="Completed",$S35=""),"Completed visit missing Seller Motivation (or add Exception note)",""),IF(AND($AQ35="Offer Sent",OR($X35="",$AA35="")),"Offer Sent needs Approved Offer Amount + Offer Sent Date",""),IF(AND($AQ35="Active Negotiation",OR($AE35="",$AF35="",$AH35="",$AG35="")),"Active Negotiation needs Last Contact Result + Next Action + Owner + Due Date",""),IF(AND($AQ35="Contract Sent",$AT35="",$R35=""),"Contract Sent needs Contract Sent Date or File Link",""),IF(AND($AQ35="Contract Signed",$AU35=""),"Contract Signed needs Contract Signed Date",""),IF(AND($AQ35="Long-Term Nurture",OR($AG35="",$AG35&lt;=TODAY())),"Long-Term Nurture needs an exact FUTURE follow-up date",""),IF(AND($AQ35="Lost / Closed Out",OR($AR35="",$AS35="")),"Lost / Closed Out needs Final Disposition + Closeout Reason",""),IF(AND($AM35="Sent",$AO35=""),"Gift marked Sent without recorded approval",""),IF($AX35="Duplicate","Duplicate active record for this address","")))</f>
        <v/>
      </c>
    </row>
    <row r="36">
      <c r="C36" s="2">
        <f>IF($B36="","",TRIM(LOWER(SUBSTITUTE(SUBSTITUTE(SUBSTITUTE(SUBSTITUTE(SUBSTITUTE($B36,",",""),".","")," apt "," "),"#","")," unit "," "))))</f>
        <v/>
      </c>
      <c r="AJ36" s="2">
        <f>IF($B36="","",IF(AND($AD36="",$BA36="",$I36=""),"",TODAY()-MAX($AD36,$BA36,$I36)))</f>
        <v/>
      </c>
      <c r="AK36" s="2">
        <f>IF($B36="","",IF($AG36="","",IF(TODAY()&gt;$AG36,TODAY()-$AG36,0)))</f>
        <v/>
      </c>
      <c r="AL36" s="2">
        <f>IF($B36="","",IF(OR($AQ36="Lost / Closed Out",$AQ36="Long-Term Nurture",$AQ36="Contract Signed"),"No",IF(MAX($AD36,$BA36,$I36)=0,"No",IF(NETWORKDAYS(MAX($AD36,$BA36,$I36),TODAY())-1&gt;=3,"Yes","No"))))</f>
        <v/>
      </c>
      <c r="AW36" s="2">
        <f>IF(OR($B36="",$AQ36="Lost / Closed Out"),"",_xlfn.TEXTJOIN(", ",TRUE,IF($B36="","Property Address",""),IF($AQ36="","Current Stage",""),IF($AF36="","Next Action",""),IF($AG36="","Next Action Due Date",""),IF($AH36="","Assigned Owner",""),IF($H36="","REI BlackBook Link","")))</f>
        <v/>
      </c>
      <c r="AX36" s="2">
        <f>IF($C36="","",IF(COUNTIFS($C$2:$C$1000,$C36,$AQ$2:$AQ$1000,"&lt;&gt;Lost / Closed Out")&gt;1,"Duplicate",""))</f>
        <v/>
      </c>
      <c r="AY36" s="2">
        <f>IF($B36="","",IF($AQ36="Verbal Agreement",100,IF($AQ36="Contract Sent",95,IF($AQ36="Active Negotiation",85,IF($AQ36="Offer Sent",70,IF($AQ36="Offer Preparation",60,IF($AQ36="Visit Completed — Needs Review",50,IF($AQ36="Visit Scheduled",30,IF($AQ36="Long-Term Nurture",10,IF($AQ36="Contract Signed",5,0)))))))))+IF($AK36="",0,MIN($AK36,20))+IF($AL36="Yes",5,0))</f>
        <v/>
      </c>
      <c r="BD36" s="2">
        <f>IF($B36="","",IF($BE36&lt;&gt;"","Exception",IF($AW36&lt;&gt;"","Incomplete","OK")))</f>
        <v/>
      </c>
      <c r="BE36" s="2">
        <f>IF($B36="","",_xlfn.TEXTJOIN(" | ",TRUE,IF(AND($K36="Completed",$M36=""),"Completed visit missing Visit Notes",""),IF(AND($K36="Completed",$S36=""),"Completed visit missing Seller Motivation (or add Exception note)",""),IF(AND($AQ36="Offer Sent",OR($X36="",$AA36="")),"Offer Sent needs Approved Offer Amount + Offer Sent Date",""),IF(AND($AQ36="Active Negotiation",OR($AE36="",$AF36="",$AH36="",$AG36="")),"Active Negotiation needs Last Contact Result + Next Action + Owner + Due Date",""),IF(AND($AQ36="Contract Sent",$AT36="",$R36=""),"Contract Sent needs Contract Sent Date or File Link",""),IF(AND($AQ36="Contract Signed",$AU36=""),"Contract Signed needs Contract Signed Date",""),IF(AND($AQ36="Long-Term Nurture",OR($AG36="",$AG36&lt;=TODAY())),"Long-Term Nurture needs an exact FUTURE follow-up date",""),IF(AND($AQ36="Lost / Closed Out",OR($AR36="",$AS36="")),"Lost / Closed Out needs Final Disposition + Closeout Reason",""),IF(AND($AM36="Sent",$AO36=""),"Gift marked Sent without recorded approval",""),IF($AX36="Duplicate","Duplicate active record for this address","")))</f>
        <v/>
      </c>
    </row>
    <row r="37">
      <c r="C37" s="2">
        <f>IF($B37="","",TRIM(LOWER(SUBSTITUTE(SUBSTITUTE(SUBSTITUTE(SUBSTITUTE(SUBSTITUTE($B37,",",""),".","")," apt "," "),"#","")," unit "," "))))</f>
        <v/>
      </c>
      <c r="AJ37" s="2">
        <f>IF($B37="","",IF(AND($AD37="",$BA37="",$I37=""),"",TODAY()-MAX($AD37,$BA37,$I37)))</f>
        <v/>
      </c>
      <c r="AK37" s="2">
        <f>IF($B37="","",IF($AG37="","",IF(TODAY()&gt;$AG37,TODAY()-$AG37,0)))</f>
        <v/>
      </c>
      <c r="AL37" s="2">
        <f>IF($B37="","",IF(OR($AQ37="Lost / Closed Out",$AQ37="Long-Term Nurture",$AQ37="Contract Signed"),"No",IF(MAX($AD37,$BA37,$I37)=0,"No",IF(NETWORKDAYS(MAX($AD37,$BA37,$I37),TODAY())-1&gt;=3,"Yes","No"))))</f>
        <v/>
      </c>
      <c r="AW37" s="2">
        <f>IF(OR($B37="",$AQ37="Lost / Closed Out"),"",_xlfn.TEXTJOIN(", ",TRUE,IF($B37="","Property Address",""),IF($AQ37="","Current Stage",""),IF($AF37="","Next Action",""),IF($AG37="","Next Action Due Date",""),IF($AH37="","Assigned Owner",""),IF($H37="","REI BlackBook Link","")))</f>
        <v/>
      </c>
      <c r="AX37" s="2">
        <f>IF($C37="","",IF(COUNTIFS($C$2:$C$1000,$C37,$AQ$2:$AQ$1000,"&lt;&gt;Lost / Closed Out")&gt;1,"Duplicate",""))</f>
        <v/>
      </c>
      <c r="AY37" s="2">
        <f>IF($B37="","",IF($AQ37="Verbal Agreement",100,IF($AQ37="Contract Sent",95,IF($AQ37="Active Negotiation",85,IF($AQ37="Offer Sent",70,IF($AQ37="Offer Preparation",60,IF($AQ37="Visit Completed — Needs Review",50,IF($AQ37="Visit Scheduled",30,IF($AQ37="Long-Term Nurture",10,IF($AQ37="Contract Signed",5,0)))))))))+IF($AK37="",0,MIN($AK37,20))+IF($AL37="Yes",5,0))</f>
        <v/>
      </c>
      <c r="BD37" s="2">
        <f>IF($B37="","",IF($BE37&lt;&gt;"","Exception",IF($AW37&lt;&gt;"","Incomplete","OK")))</f>
        <v/>
      </c>
      <c r="BE37" s="2">
        <f>IF($B37="","",_xlfn.TEXTJOIN(" | ",TRUE,IF(AND($K37="Completed",$M37=""),"Completed visit missing Visit Notes",""),IF(AND($K37="Completed",$S37=""),"Completed visit missing Seller Motivation (or add Exception note)",""),IF(AND($AQ37="Offer Sent",OR($X37="",$AA37="")),"Offer Sent needs Approved Offer Amount + Offer Sent Date",""),IF(AND($AQ37="Active Negotiation",OR($AE37="",$AF37="",$AH37="",$AG37="")),"Active Negotiation needs Last Contact Result + Next Action + Owner + Due Date",""),IF(AND($AQ37="Contract Sent",$AT37="",$R37=""),"Contract Sent needs Contract Sent Date or File Link",""),IF(AND($AQ37="Contract Signed",$AU37=""),"Contract Signed needs Contract Signed Date",""),IF(AND($AQ37="Long-Term Nurture",OR($AG37="",$AG37&lt;=TODAY())),"Long-Term Nurture needs an exact FUTURE follow-up date",""),IF(AND($AQ37="Lost / Closed Out",OR($AR37="",$AS37="")),"Lost / Closed Out needs Final Disposition + Closeout Reason",""),IF(AND($AM37="Sent",$AO37=""),"Gift marked Sent without recorded approval",""),IF($AX37="Duplicate","Duplicate active record for this address","")))</f>
        <v/>
      </c>
    </row>
    <row r="38">
      <c r="C38" s="2">
        <f>IF($B38="","",TRIM(LOWER(SUBSTITUTE(SUBSTITUTE(SUBSTITUTE(SUBSTITUTE(SUBSTITUTE($B38,",",""),".","")," apt "," "),"#","")," unit "," "))))</f>
        <v/>
      </c>
      <c r="AJ38" s="2">
        <f>IF($B38="","",IF(AND($AD38="",$BA38="",$I38=""),"",TODAY()-MAX($AD38,$BA38,$I38)))</f>
        <v/>
      </c>
      <c r="AK38" s="2">
        <f>IF($B38="","",IF($AG38="","",IF(TODAY()&gt;$AG38,TODAY()-$AG38,0)))</f>
        <v/>
      </c>
      <c r="AL38" s="2">
        <f>IF($B38="","",IF(OR($AQ38="Lost / Closed Out",$AQ38="Long-Term Nurture",$AQ38="Contract Signed"),"No",IF(MAX($AD38,$BA38,$I38)=0,"No",IF(NETWORKDAYS(MAX($AD38,$BA38,$I38),TODAY())-1&gt;=3,"Yes","No"))))</f>
        <v/>
      </c>
      <c r="AW38" s="2">
        <f>IF(OR($B38="",$AQ38="Lost / Closed Out"),"",_xlfn.TEXTJOIN(", ",TRUE,IF($B38="","Property Address",""),IF($AQ38="","Current Stage",""),IF($AF38="","Next Action",""),IF($AG38="","Next Action Due Date",""),IF($AH38="","Assigned Owner",""),IF($H38="","REI BlackBook Link","")))</f>
        <v/>
      </c>
      <c r="AX38" s="2">
        <f>IF($C38="","",IF(COUNTIFS($C$2:$C$1000,$C38,$AQ$2:$AQ$1000,"&lt;&gt;Lost / Closed Out")&gt;1,"Duplicate",""))</f>
        <v/>
      </c>
      <c r="AY38" s="2">
        <f>IF($B38="","",IF($AQ38="Verbal Agreement",100,IF($AQ38="Contract Sent",95,IF($AQ38="Active Negotiation",85,IF($AQ38="Offer Sent",70,IF($AQ38="Offer Preparation",60,IF($AQ38="Visit Completed — Needs Review",50,IF($AQ38="Visit Scheduled",30,IF($AQ38="Long-Term Nurture",10,IF($AQ38="Contract Signed",5,0)))))))))+IF($AK38="",0,MIN($AK38,20))+IF($AL38="Yes",5,0))</f>
        <v/>
      </c>
      <c r="BD38" s="2">
        <f>IF($B38="","",IF($BE38&lt;&gt;"","Exception",IF($AW38&lt;&gt;"","Incomplete","OK")))</f>
        <v/>
      </c>
      <c r="BE38" s="2">
        <f>IF($B38="","",_xlfn.TEXTJOIN(" | ",TRUE,IF(AND($K38="Completed",$M38=""),"Completed visit missing Visit Notes",""),IF(AND($K38="Completed",$S38=""),"Completed visit missing Seller Motivation (or add Exception note)",""),IF(AND($AQ38="Offer Sent",OR($X38="",$AA38="")),"Offer Sent needs Approved Offer Amount + Offer Sent Date",""),IF(AND($AQ38="Active Negotiation",OR($AE38="",$AF38="",$AH38="",$AG38="")),"Active Negotiation needs Last Contact Result + Next Action + Owner + Due Date",""),IF(AND($AQ38="Contract Sent",$AT38="",$R38=""),"Contract Sent needs Contract Sent Date or File Link",""),IF(AND($AQ38="Contract Signed",$AU38=""),"Contract Signed needs Contract Signed Date",""),IF(AND($AQ38="Long-Term Nurture",OR($AG38="",$AG38&lt;=TODAY())),"Long-Term Nurture needs an exact FUTURE follow-up date",""),IF(AND($AQ38="Lost / Closed Out",OR($AR38="",$AS38="")),"Lost / Closed Out needs Final Disposition + Closeout Reason",""),IF(AND($AM38="Sent",$AO38=""),"Gift marked Sent without recorded approval",""),IF($AX38="Duplicate","Duplicate active record for this address","")))</f>
        <v/>
      </c>
    </row>
    <row r="39">
      <c r="C39" s="2">
        <f>IF($B39="","",TRIM(LOWER(SUBSTITUTE(SUBSTITUTE(SUBSTITUTE(SUBSTITUTE(SUBSTITUTE($B39,",",""),".","")," apt "," "),"#","")," unit "," "))))</f>
        <v/>
      </c>
      <c r="AJ39" s="2">
        <f>IF($B39="","",IF(AND($AD39="",$BA39="",$I39=""),"",TODAY()-MAX($AD39,$BA39,$I39)))</f>
        <v/>
      </c>
      <c r="AK39" s="2">
        <f>IF($B39="","",IF($AG39="","",IF(TODAY()&gt;$AG39,TODAY()-$AG39,0)))</f>
        <v/>
      </c>
      <c r="AL39" s="2">
        <f>IF($B39="","",IF(OR($AQ39="Lost / Closed Out",$AQ39="Long-Term Nurture",$AQ39="Contract Signed"),"No",IF(MAX($AD39,$BA39,$I39)=0,"No",IF(NETWORKDAYS(MAX($AD39,$BA39,$I39),TODAY())-1&gt;=3,"Yes","No"))))</f>
        <v/>
      </c>
      <c r="AW39" s="2">
        <f>IF(OR($B39="",$AQ39="Lost / Closed Out"),"",_xlfn.TEXTJOIN(", ",TRUE,IF($B39="","Property Address",""),IF($AQ39="","Current Stage",""),IF($AF39="","Next Action",""),IF($AG39="","Next Action Due Date",""),IF($AH39="","Assigned Owner",""),IF($H39="","REI BlackBook Link","")))</f>
        <v/>
      </c>
      <c r="AX39" s="2">
        <f>IF($C39="","",IF(COUNTIFS($C$2:$C$1000,$C39,$AQ$2:$AQ$1000,"&lt;&gt;Lost / Closed Out")&gt;1,"Duplicate",""))</f>
        <v/>
      </c>
      <c r="AY39" s="2">
        <f>IF($B39="","",IF($AQ39="Verbal Agreement",100,IF($AQ39="Contract Sent",95,IF($AQ39="Active Negotiation",85,IF($AQ39="Offer Sent",70,IF($AQ39="Offer Preparation",60,IF($AQ39="Visit Completed — Needs Review",50,IF($AQ39="Visit Scheduled",30,IF($AQ39="Long-Term Nurture",10,IF($AQ39="Contract Signed",5,0)))))))))+IF($AK39="",0,MIN($AK39,20))+IF($AL39="Yes",5,0))</f>
        <v/>
      </c>
      <c r="BD39" s="2">
        <f>IF($B39="","",IF($BE39&lt;&gt;"","Exception",IF($AW39&lt;&gt;"","Incomplete","OK")))</f>
        <v/>
      </c>
      <c r="BE39" s="2">
        <f>IF($B39="","",_xlfn.TEXTJOIN(" | ",TRUE,IF(AND($K39="Completed",$M39=""),"Completed visit missing Visit Notes",""),IF(AND($K39="Completed",$S39=""),"Completed visit missing Seller Motivation (or add Exception note)",""),IF(AND($AQ39="Offer Sent",OR($X39="",$AA39="")),"Offer Sent needs Approved Offer Amount + Offer Sent Date",""),IF(AND($AQ39="Active Negotiation",OR($AE39="",$AF39="",$AH39="",$AG39="")),"Active Negotiation needs Last Contact Result + Next Action + Owner + Due Date",""),IF(AND($AQ39="Contract Sent",$AT39="",$R39=""),"Contract Sent needs Contract Sent Date or File Link",""),IF(AND($AQ39="Contract Signed",$AU39=""),"Contract Signed needs Contract Signed Date",""),IF(AND($AQ39="Long-Term Nurture",OR($AG39="",$AG39&lt;=TODAY())),"Long-Term Nurture needs an exact FUTURE follow-up date",""),IF(AND($AQ39="Lost / Closed Out",OR($AR39="",$AS39="")),"Lost / Closed Out needs Final Disposition + Closeout Reason",""),IF(AND($AM39="Sent",$AO39=""),"Gift marked Sent without recorded approval",""),IF($AX39="Duplicate","Duplicate active record for this address","")))</f>
        <v/>
      </c>
    </row>
    <row r="40">
      <c r="C40" s="2">
        <f>IF($B40="","",TRIM(LOWER(SUBSTITUTE(SUBSTITUTE(SUBSTITUTE(SUBSTITUTE(SUBSTITUTE($B40,",",""),".","")," apt "," "),"#","")," unit "," "))))</f>
        <v/>
      </c>
      <c r="AJ40" s="2">
        <f>IF($B40="","",IF(AND($AD40="",$BA40="",$I40=""),"",TODAY()-MAX($AD40,$BA40,$I40)))</f>
        <v/>
      </c>
      <c r="AK40" s="2">
        <f>IF($B40="","",IF($AG40="","",IF(TODAY()&gt;$AG40,TODAY()-$AG40,0)))</f>
        <v/>
      </c>
      <c r="AL40" s="2">
        <f>IF($B40="","",IF(OR($AQ40="Lost / Closed Out",$AQ40="Long-Term Nurture",$AQ40="Contract Signed"),"No",IF(MAX($AD40,$BA40,$I40)=0,"No",IF(NETWORKDAYS(MAX($AD40,$BA40,$I40),TODAY())-1&gt;=3,"Yes","No"))))</f>
        <v/>
      </c>
      <c r="AW40" s="2">
        <f>IF(OR($B40="",$AQ40="Lost / Closed Out"),"",_xlfn.TEXTJOIN(", ",TRUE,IF($B40="","Property Address",""),IF($AQ40="","Current Stage",""),IF($AF40="","Next Action",""),IF($AG40="","Next Action Due Date",""),IF($AH40="","Assigned Owner",""),IF($H40="","REI BlackBook Link","")))</f>
        <v/>
      </c>
      <c r="AX40" s="2">
        <f>IF($C40="","",IF(COUNTIFS($C$2:$C$1000,$C40,$AQ$2:$AQ$1000,"&lt;&gt;Lost / Closed Out")&gt;1,"Duplicate",""))</f>
        <v/>
      </c>
      <c r="AY40" s="2">
        <f>IF($B40="","",IF($AQ40="Verbal Agreement",100,IF($AQ40="Contract Sent",95,IF($AQ40="Active Negotiation",85,IF($AQ40="Offer Sent",70,IF($AQ40="Offer Preparation",60,IF($AQ40="Visit Completed — Needs Review",50,IF($AQ40="Visit Scheduled",30,IF($AQ40="Long-Term Nurture",10,IF($AQ40="Contract Signed",5,0)))))))))+IF($AK40="",0,MIN($AK40,20))+IF($AL40="Yes",5,0))</f>
        <v/>
      </c>
      <c r="BD40" s="2">
        <f>IF($B40="","",IF($BE40&lt;&gt;"","Exception",IF($AW40&lt;&gt;"","Incomplete","OK")))</f>
        <v/>
      </c>
      <c r="BE40" s="2">
        <f>IF($B40="","",_xlfn.TEXTJOIN(" | ",TRUE,IF(AND($K40="Completed",$M40=""),"Completed visit missing Visit Notes",""),IF(AND($K40="Completed",$S40=""),"Completed visit missing Seller Motivation (or add Exception note)",""),IF(AND($AQ40="Offer Sent",OR($X40="",$AA40="")),"Offer Sent needs Approved Offer Amount + Offer Sent Date",""),IF(AND($AQ40="Active Negotiation",OR($AE40="",$AF40="",$AH40="",$AG40="")),"Active Negotiation needs Last Contact Result + Next Action + Owner + Due Date",""),IF(AND($AQ40="Contract Sent",$AT40="",$R40=""),"Contract Sent needs Contract Sent Date or File Link",""),IF(AND($AQ40="Contract Signed",$AU40=""),"Contract Signed needs Contract Signed Date",""),IF(AND($AQ40="Long-Term Nurture",OR($AG40="",$AG40&lt;=TODAY())),"Long-Term Nurture needs an exact FUTURE follow-up date",""),IF(AND($AQ40="Lost / Closed Out",OR($AR40="",$AS40="")),"Lost / Closed Out needs Final Disposition + Closeout Reason",""),IF(AND($AM40="Sent",$AO40=""),"Gift marked Sent without recorded approval",""),IF($AX40="Duplicate","Duplicate active record for this address","")))</f>
        <v/>
      </c>
    </row>
    <row r="41">
      <c r="C41" s="2">
        <f>IF($B41="","",TRIM(LOWER(SUBSTITUTE(SUBSTITUTE(SUBSTITUTE(SUBSTITUTE(SUBSTITUTE($B41,",",""),".","")," apt "," "),"#","")," unit "," "))))</f>
        <v/>
      </c>
      <c r="AJ41" s="2">
        <f>IF($B41="","",IF(AND($AD41="",$BA41="",$I41=""),"",TODAY()-MAX($AD41,$BA41,$I41)))</f>
        <v/>
      </c>
      <c r="AK41" s="2">
        <f>IF($B41="","",IF($AG41="","",IF(TODAY()&gt;$AG41,TODAY()-$AG41,0)))</f>
        <v/>
      </c>
      <c r="AL41" s="2">
        <f>IF($B41="","",IF(OR($AQ41="Lost / Closed Out",$AQ41="Long-Term Nurture",$AQ41="Contract Signed"),"No",IF(MAX($AD41,$BA41,$I41)=0,"No",IF(NETWORKDAYS(MAX($AD41,$BA41,$I41),TODAY())-1&gt;=3,"Yes","No"))))</f>
        <v/>
      </c>
      <c r="AW41" s="2">
        <f>IF(OR($B41="",$AQ41="Lost / Closed Out"),"",_xlfn.TEXTJOIN(", ",TRUE,IF($B41="","Property Address",""),IF($AQ41="","Current Stage",""),IF($AF41="","Next Action",""),IF($AG41="","Next Action Due Date",""),IF($AH41="","Assigned Owner",""),IF($H41="","REI BlackBook Link","")))</f>
        <v/>
      </c>
      <c r="AX41" s="2">
        <f>IF($C41="","",IF(COUNTIFS($C$2:$C$1000,$C41,$AQ$2:$AQ$1000,"&lt;&gt;Lost / Closed Out")&gt;1,"Duplicate",""))</f>
        <v/>
      </c>
      <c r="AY41" s="2">
        <f>IF($B41="","",IF($AQ41="Verbal Agreement",100,IF($AQ41="Contract Sent",95,IF($AQ41="Active Negotiation",85,IF($AQ41="Offer Sent",70,IF($AQ41="Offer Preparation",60,IF($AQ41="Visit Completed — Needs Review",50,IF($AQ41="Visit Scheduled",30,IF($AQ41="Long-Term Nurture",10,IF($AQ41="Contract Signed",5,0)))))))))+IF($AK41="",0,MIN($AK41,20))+IF($AL41="Yes",5,0))</f>
        <v/>
      </c>
      <c r="BD41" s="2">
        <f>IF($B41="","",IF($BE41&lt;&gt;"","Exception",IF($AW41&lt;&gt;"","Incomplete","OK")))</f>
        <v/>
      </c>
      <c r="BE41" s="2">
        <f>IF($B41="","",_xlfn.TEXTJOIN(" | ",TRUE,IF(AND($K41="Completed",$M41=""),"Completed visit missing Visit Notes",""),IF(AND($K41="Completed",$S41=""),"Completed visit missing Seller Motivation (or add Exception note)",""),IF(AND($AQ41="Offer Sent",OR($X41="",$AA41="")),"Offer Sent needs Approved Offer Amount + Offer Sent Date",""),IF(AND($AQ41="Active Negotiation",OR($AE41="",$AF41="",$AH41="",$AG41="")),"Active Negotiation needs Last Contact Result + Next Action + Owner + Due Date",""),IF(AND($AQ41="Contract Sent",$AT41="",$R41=""),"Contract Sent needs Contract Sent Date or File Link",""),IF(AND($AQ41="Contract Signed",$AU41=""),"Contract Signed needs Contract Signed Date",""),IF(AND($AQ41="Long-Term Nurture",OR($AG41="",$AG41&lt;=TODAY())),"Long-Term Nurture needs an exact FUTURE follow-up date",""),IF(AND($AQ41="Lost / Closed Out",OR($AR41="",$AS41="")),"Lost / Closed Out needs Final Disposition + Closeout Reason",""),IF(AND($AM41="Sent",$AO41=""),"Gift marked Sent without recorded approval",""),IF($AX41="Duplicate","Duplicate active record for this address","")))</f>
        <v/>
      </c>
    </row>
    <row r="42">
      <c r="C42" s="2">
        <f>IF($B42="","",TRIM(LOWER(SUBSTITUTE(SUBSTITUTE(SUBSTITUTE(SUBSTITUTE(SUBSTITUTE($B42,",",""),".","")," apt "," "),"#","")," unit "," "))))</f>
        <v/>
      </c>
      <c r="AJ42" s="2">
        <f>IF($B42="","",IF(AND($AD42="",$BA42="",$I42=""),"",TODAY()-MAX($AD42,$BA42,$I42)))</f>
        <v/>
      </c>
      <c r="AK42" s="2">
        <f>IF($B42="","",IF($AG42="","",IF(TODAY()&gt;$AG42,TODAY()-$AG42,0)))</f>
        <v/>
      </c>
      <c r="AL42" s="2">
        <f>IF($B42="","",IF(OR($AQ42="Lost / Closed Out",$AQ42="Long-Term Nurture",$AQ42="Contract Signed"),"No",IF(MAX($AD42,$BA42,$I42)=0,"No",IF(NETWORKDAYS(MAX($AD42,$BA42,$I42),TODAY())-1&gt;=3,"Yes","No"))))</f>
        <v/>
      </c>
      <c r="AW42" s="2">
        <f>IF(OR($B42="",$AQ42="Lost / Closed Out"),"",_xlfn.TEXTJOIN(", ",TRUE,IF($B42="","Property Address",""),IF($AQ42="","Current Stage",""),IF($AF42="","Next Action",""),IF($AG42="","Next Action Due Date",""),IF($AH42="","Assigned Owner",""),IF($H42="","REI BlackBook Link","")))</f>
        <v/>
      </c>
      <c r="AX42" s="2">
        <f>IF($C42="","",IF(COUNTIFS($C$2:$C$1000,$C42,$AQ$2:$AQ$1000,"&lt;&gt;Lost / Closed Out")&gt;1,"Duplicate",""))</f>
        <v/>
      </c>
      <c r="AY42" s="2">
        <f>IF($B42="","",IF($AQ42="Verbal Agreement",100,IF($AQ42="Contract Sent",95,IF($AQ42="Active Negotiation",85,IF($AQ42="Offer Sent",70,IF($AQ42="Offer Preparation",60,IF($AQ42="Visit Completed — Needs Review",50,IF($AQ42="Visit Scheduled",30,IF($AQ42="Long-Term Nurture",10,IF($AQ42="Contract Signed",5,0)))))))))+IF($AK42="",0,MIN($AK42,20))+IF($AL42="Yes",5,0))</f>
        <v/>
      </c>
      <c r="BD42" s="2">
        <f>IF($B42="","",IF($BE42&lt;&gt;"","Exception",IF($AW42&lt;&gt;"","Incomplete","OK")))</f>
        <v/>
      </c>
      <c r="BE42" s="2">
        <f>IF($B42="","",_xlfn.TEXTJOIN(" | ",TRUE,IF(AND($K42="Completed",$M42=""),"Completed visit missing Visit Notes",""),IF(AND($K42="Completed",$S42=""),"Completed visit missing Seller Motivation (or add Exception note)",""),IF(AND($AQ42="Offer Sent",OR($X42="",$AA42="")),"Offer Sent needs Approved Offer Amount + Offer Sent Date",""),IF(AND($AQ42="Active Negotiation",OR($AE42="",$AF42="",$AH42="",$AG42="")),"Active Negotiation needs Last Contact Result + Next Action + Owner + Due Date",""),IF(AND($AQ42="Contract Sent",$AT42="",$R42=""),"Contract Sent needs Contract Sent Date or File Link",""),IF(AND($AQ42="Contract Signed",$AU42=""),"Contract Signed needs Contract Signed Date",""),IF(AND($AQ42="Long-Term Nurture",OR($AG42="",$AG42&lt;=TODAY())),"Long-Term Nurture needs an exact FUTURE follow-up date",""),IF(AND($AQ42="Lost / Closed Out",OR($AR42="",$AS42="")),"Lost / Closed Out needs Final Disposition + Closeout Reason",""),IF(AND($AM42="Sent",$AO42=""),"Gift marked Sent without recorded approval",""),IF($AX42="Duplicate","Duplicate active record for this address","")))</f>
        <v/>
      </c>
    </row>
    <row r="43">
      <c r="C43" s="2">
        <f>IF($B43="","",TRIM(LOWER(SUBSTITUTE(SUBSTITUTE(SUBSTITUTE(SUBSTITUTE(SUBSTITUTE($B43,",",""),".","")," apt "," "),"#","")," unit "," "))))</f>
        <v/>
      </c>
      <c r="AJ43" s="2">
        <f>IF($B43="","",IF(AND($AD43="",$BA43="",$I43=""),"",TODAY()-MAX($AD43,$BA43,$I43)))</f>
        <v/>
      </c>
      <c r="AK43" s="2">
        <f>IF($B43="","",IF($AG43="","",IF(TODAY()&gt;$AG43,TODAY()-$AG43,0)))</f>
        <v/>
      </c>
      <c r="AL43" s="2">
        <f>IF($B43="","",IF(OR($AQ43="Lost / Closed Out",$AQ43="Long-Term Nurture",$AQ43="Contract Signed"),"No",IF(MAX($AD43,$BA43,$I43)=0,"No",IF(NETWORKDAYS(MAX($AD43,$BA43,$I43),TODAY())-1&gt;=3,"Yes","No"))))</f>
        <v/>
      </c>
      <c r="AW43" s="2">
        <f>IF(OR($B43="",$AQ43="Lost / Closed Out"),"",_xlfn.TEXTJOIN(", ",TRUE,IF($B43="","Property Address",""),IF($AQ43="","Current Stage",""),IF($AF43="","Next Action",""),IF($AG43="","Next Action Due Date",""),IF($AH43="","Assigned Owner",""),IF($H43="","REI BlackBook Link","")))</f>
        <v/>
      </c>
      <c r="AX43" s="2">
        <f>IF($C43="","",IF(COUNTIFS($C$2:$C$1000,$C43,$AQ$2:$AQ$1000,"&lt;&gt;Lost / Closed Out")&gt;1,"Duplicate",""))</f>
        <v/>
      </c>
      <c r="AY43" s="2">
        <f>IF($B43="","",IF($AQ43="Verbal Agreement",100,IF($AQ43="Contract Sent",95,IF($AQ43="Active Negotiation",85,IF($AQ43="Offer Sent",70,IF($AQ43="Offer Preparation",60,IF($AQ43="Visit Completed — Needs Review",50,IF($AQ43="Visit Scheduled",30,IF($AQ43="Long-Term Nurture",10,IF($AQ43="Contract Signed",5,0)))))))))+IF($AK43="",0,MIN($AK43,20))+IF($AL43="Yes",5,0))</f>
        <v/>
      </c>
      <c r="BD43" s="2">
        <f>IF($B43="","",IF($BE43&lt;&gt;"","Exception",IF($AW43&lt;&gt;"","Incomplete","OK")))</f>
        <v/>
      </c>
      <c r="BE43" s="2">
        <f>IF($B43="","",_xlfn.TEXTJOIN(" | ",TRUE,IF(AND($K43="Completed",$M43=""),"Completed visit missing Visit Notes",""),IF(AND($K43="Completed",$S43=""),"Completed visit missing Seller Motivation (or add Exception note)",""),IF(AND($AQ43="Offer Sent",OR($X43="",$AA43="")),"Offer Sent needs Approved Offer Amount + Offer Sent Date",""),IF(AND($AQ43="Active Negotiation",OR($AE43="",$AF43="",$AH43="",$AG43="")),"Active Negotiation needs Last Contact Result + Next Action + Owner + Due Date",""),IF(AND($AQ43="Contract Sent",$AT43="",$R43=""),"Contract Sent needs Contract Sent Date or File Link",""),IF(AND($AQ43="Contract Signed",$AU43=""),"Contract Signed needs Contract Signed Date",""),IF(AND($AQ43="Long-Term Nurture",OR($AG43="",$AG43&lt;=TODAY())),"Long-Term Nurture needs an exact FUTURE follow-up date",""),IF(AND($AQ43="Lost / Closed Out",OR($AR43="",$AS43="")),"Lost / Closed Out needs Final Disposition + Closeout Reason",""),IF(AND($AM43="Sent",$AO43=""),"Gift marked Sent without recorded approval",""),IF($AX43="Duplicate","Duplicate active record for this address","")))</f>
        <v/>
      </c>
    </row>
    <row r="44">
      <c r="C44" s="2">
        <f>IF($B44="","",TRIM(LOWER(SUBSTITUTE(SUBSTITUTE(SUBSTITUTE(SUBSTITUTE(SUBSTITUTE($B44,",",""),".","")," apt "," "),"#","")," unit "," "))))</f>
        <v/>
      </c>
      <c r="AJ44" s="2">
        <f>IF($B44="","",IF(AND($AD44="",$BA44="",$I44=""),"",TODAY()-MAX($AD44,$BA44,$I44)))</f>
        <v/>
      </c>
      <c r="AK44" s="2">
        <f>IF($B44="","",IF($AG44="","",IF(TODAY()&gt;$AG44,TODAY()-$AG44,0)))</f>
        <v/>
      </c>
      <c r="AL44" s="2">
        <f>IF($B44="","",IF(OR($AQ44="Lost / Closed Out",$AQ44="Long-Term Nurture",$AQ44="Contract Signed"),"No",IF(MAX($AD44,$BA44,$I44)=0,"No",IF(NETWORKDAYS(MAX($AD44,$BA44,$I44),TODAY())-1&gt;=3,"Yes","No"))))</f>
        <v/>
      </c>
      <c r="AW44" s="2">
        <f>IF(OR($B44="",$AQ44="Lost / Closed Out"),"",_xlfn.TEXTJOIN(", ",TRUE,IF($B44="","Property Address",""),IF($AQ44="","Current Stage",""),IF($AF44="","Next Action",""),IF($AG44="","Next Action Due Date",""),IF($AH44="","Assigned Owner",""),IF($H44="","REI BlackBook Link","")))</f>
        <v/>
      </c>
      <c r="AX44" s="2">
        <f>IF($C44="","",IF(COUNTIFS($C$2:$C$1000,$C44,$AQ$2:$AQ$1000,"&lt;&gt;Lost / Closed Out")&gt;1,"Duplicate",""))</f>
        <v/>
      </c>
      <c r="AY44" s="2">
        <f>IF($B44="","",IF($AQ44="Verbal Agreement",100,IF($AQ44="Contract Sent",95,IF($AQ44="Active Negotiation",85,IF($AQ44="Offer Sent",70,IF($AQ44="Offer Preparation",60,IF($AQ44="Visit Completed — Needs Review",50,IF($AQ44="Visit Scheduled",30,IF($AQ44="Long-Term Nurture",10,IF($AQ44="Contract Signed",5,0)))))))))+IF($AK44="",0,MIN($AK44,20))+IF($AL44="Yes",5,0))</f>
        <v/>
      </c>
      <c r="BD44" s="2">
        <f>IF($B44="","",IF($BE44&lt;&gt;"","Exception",IF($AW44&lt;&gt;"","Incomplete","OK")))</f>
        <v/>
      </c>
      <c r="BE44" s="2">
        <f>IF($B44="","",_xlfn.TEXTJOIN(" | ",TRUE,IF(AND($K44="Completed",$M44=""),"Completed visit missing Visit Notes",""),IF(AND($K44="Completed",$S44=""),"Completed visit missing Seller Motivation (or add Exception note)",""),IF(AND($AQ44="Offer Sent",OR($X44="",$AA44="")),"Offer Sent needs Approved Offer Amount + Offer Sent Date",""),IF(AND($AQ44="Active Negotiation",OR($AE44="",$AF44="",$AH44="",$AG44="")),"Active Negotiation needs Last Contact Result + Next Action + Owner + Due Date",""),IF(AND($AQ44="Contract Sent",$AT44="",$R44=""),"Contract Sent needs Contract Sent Date or File Link",""),IF(AND($AQ44="Contract Signed",$AU44=""),"Contract Signed needs Contract Signed Date",""),IF(AND($AQ44="Long-Term Nurture",OR($AG44="",$AG44&lt;=TODAY())),"Long-Term Nurture needs an exact FUTURE follow-up date",""),IF(AND($AQ44="Lost / Closed Out",OR($AR44="",$AS44="")),"Lost / Closed Out needs Final Disposition + Closeout Reason",""),IF(AND($AM44="Sent",$AO44=""),"Gift marked Sent without recorded approval",""),IF($AX44="Duplicate","Duplicate active record for this address","")))</f>
        <v/>
      </c>
    </row>
    <row r="45">
      <c r="C45" s="2">
        <f>IF($B45="","",TRIM(LOWER(SUBSTITUTE(SUBSTITUTE(SUBSTITUTE(SUBSTITUTE(SUBSTITUTE($B45,",",""),".","")," apt "," "),"#","")," unit "," "))))</f>
        <v/>
      </c>
      <c r="AJ45" s="2">
        <f>IF($B45="","",IF(AND($AD45="",$BA45="",$I45=""),"",TODAY()-MAX($AD45,$BA45,$I45)))</f>
        <v/>
      </c>
      <c r="AK45" s="2">
        <f>IF($B45="","",IF($AG45="","",IF(TODAY()&gt;$AG45,TODAY()-$AG45,0)))</f>
        <v/>
      </c>
      <c r="AL45" s="2">
        <f>IF($B45="","",IF(OR($AQ45="Lost / Closed Out",$AQ45="Long-Term Nurture",$AQ45="Contract Signed"),"No",IF(MAX($AD45,$BA45,$I45)=0,"No",IF(NETWORKDAYS(MAX($AD45,$BA45,$I45),TODAY())-1&gt;=3,"Yes","No"))))</f>
        <v/>
      </c>
      <c r="AW45" s="2">
        <f>IF(OR($B45="",$AQ45="Lost / Closed Out"),"",_xlfn.TEXTJOIN(", ",TRUE,IF($B45="","Property Address",""),IF($AQ45="","Current Stage",""),IF($AF45="","Next Action",""),IF($AG45="","Next Action Due Date",""),IF($AH45="","Assigned Owner",""),IF($H45="","REI BlackBook Link","")))</f>
        <v/>
      </c>
      <c r="AX45" s="2">
        <f>IF($C45="","",IF(COUNTIFS($C$2:$C$1000,$C45,$AQ$2:$AQ$1000,"&lt;&gt;Lost / Closed Out")&gt;1,"Duplicate",""))</f>
        <v/>
      </c>
      <c r="AY45" s="2">
        <f>IF($B45="","",IF($AQ45="Verbal Agreement",100,IF($AQ45="Contract Sent",95,IF($AQ45="Active Negotiation",85,IF($AQ45="Offer Sent",70,IF($AQ45="Offer Preparation",60,IF($AQ45="Visit Completed — Needs Review",50,IF($AQ45="Visit Scheduled",30,IF($AQ45="Long-Term Nurture",10,IF($AQ45="Contract Signed",5,0)))))))))+IF($AK45="",0,MIN($AK45,20))+IF($AL45="Yes",5,0))</f>
        <v/>
      </c>
      <c r="BD45" s="2">
        <f>IF($B45="","",IF($BE45&lt;&gt;"","Exception",IF($AW45&lt;&gt;"","Incomplete","OK")))</f>
        <v/>
      </c>
      <c r="BE45" s="2">
        <f>IF($B45="","",_xlfn.TEXTJOIN(" | ",TRUE,IF(AND($K45="Completed",$M45=""),"Completed visit missing Visit Notes",""),IF(AND($K45="Completed",$S45=""),"Completed visit missing Seller Motivation (or add Exception note)",""),IF(AND($AQ45="Offer Sent",OR($X45="",$AA45="")),"Offer Sent needs Approved Offer Amount + Offer Sent Date",""),IF(AND($AQ45="Active Negotiation",OR($AE45="",$AF45="",$AH45="",$AG45="")),"Active Negotiation needs Last Contact Result + Next Action + Owner + Due Date",""),IF(AND($AQ45="Contract Sent",$AT45="",$R45=""),"Contract Sent needs Contract Sent Date or File Link",""),IF(AND($AQ45="Contract Signed",$AU45=""),"Contract Signed needs Contract Signed Date",""),IF(AND($AQ45="Long-Term Nurture",OR($AG45="",$AG45&lt;=TODAY())),"Long-Term Nurture needs an exact FUTURE follow-up date",""),IF(AND($AQ45="Lost / Closed Out",OR($AR45="",$AS45="")),"Lost / Closed Out needs Final Disposition + Closeout Reason",""),IF(AND($AM45="Sent",$AO45=""),"Gift marked Sent without recorded approval",""),IF($AX45="Duplicate","Duplicate active record for this address","")))</f>
        <v/>
      </c>
    </row>
    <row r="46">
      <c r="C46" s="2">
        <f>IF($B46="","",TRIM(LOWER(SUBSTITUTE(SUBSTITUTE(SUBSTITUTE(SUBSTITUTE(SUBSTITUTE($B46,",",""),".","")," apt "," "),"#","")," unit "," "))))</f>
        <v/>
      </c>
      <c r="AJ46" s="2">
        <f>IF($B46="","",IF(AND($AD46="",$BA46="",$I46=""),"",TODAY()-MAX($AD46,$BA46,$I46)))</f>
        <v/>
      </c>
      <c r="AK46" s="2">
        <f>IF($B46="","",IF($AG46="","",IF(TODAY()&gt;$AG46,TODAY()-$AG46,0)))</f>
        <v/>
      </c>
      <c r="AL46" s="2">
        <f>IF($B46="","",IF(OR($AQ46="Lost / Closed Out",$AQ46="Long-Term Nurture",$AQ46="Contract Signed"),"No",IF(MAX($AD46,$BA46,$I46)=0,"No",IF(NETWORKDAYS(MAX($AD46,$BA46,$I46),TODAY())-1&gt;=3,"Yes","No"))))</f>
        <v/>
      </c>
      <c r="AW46" s="2">
        <f>IF(OR($B46="",$AQ46="Lost / Closed Out"),"",_xlfn.TEXTJOIN(", ",TRUE,IF($B46="","Property Address",""),IF($AQ46="","Current Stage",""),IF($AF46="","Next Action",""),IF($AG46="","Next Action Due Date",""),IF($AH46="","Assigned Owner",""),IF($H46="","REI BlackBook Link","")))</f>
        <v/>
      </c>
      <c r="AX46" s="2">
        <f>IF($C46="","",IF(COUNTIFS($C$2:$C$1000,$C46,$AQ$2:$AQ$1000,"&lt;&gt;Lost / Closed Out")&gt;1,"Duplicate",""))</f>
        <v/>
      </c>
      <c r="AY46" s="2">
        <f>IF($B46="","",IF($AQ46="Verbal Agreement",100,IF($AQ46="Contract Sent",95,IF($AQ46="Active Negotiation",85,IF($AQ46="Offer Sent",70,IF($AQ46="Offer Preparation",60,IF($AQ46="Visit Completed — Needs Review",50,IF($AQ46="Visit Scheduled",30,IF($AQ46="Long-Term Nurture",10,IF($AQ46="Contract Signed",5,0)))))))))+IF($AK46="",0,MIN($AK46,20))+IF($AL46="Yes",5,0))</f>
        <v/>
      </c>
      <c r="BD46" s="2">
        <f>IF($B46="","",IF($BE46&lt;&gt;"","Exception",IF($AW46&lt;&gt;"","Incomplete","OK")))</f>
        <v/>
      </c>
      <c r="BE46" s="2">
        <f>IF($B46="","",_xlfn.TEXTJOIN(" | ",TRUE,IF(AND($K46="Completed",$M46=""),"Completed visit missing Visit Notes",""),IF(AND($K46="Completed",$S46=""),"Completed visit missing Seller Motivation (or add Exception note)",""),IF(AND($AQ46="Offer Sent",OR($X46="",$AA46="")),"Offer Sent needs Approved Offer Amount + Offer Sent Date",""),IF(AND($AQ46="Active Negotiation",OR($AE46="",$AF46="",$AH46="",$AG46="")),"Active Negotiation needs Last Contact Result + Next Action + Owner + Due Date",""),IF(AND($AQ46="Contract Sent",$AT46="",$R46=""),"Contract Sent needs Contract Sent Date or File Link",""),IF(AND($AQ46="Contract Signed",$AU46=""),"Contract Signed needs Contract Signed Date",""),IF(AND($AQ46="Long-Term Nurture",OR($AG46="",$AG46&lt;=TODAY())),"Long-Term Nurture needs an exact FUTURE follow-up date",""),IF(AND($AQ46="Lost / Closed Out",OR($AR46="",$AS46="")),"Lost / Closed Out needs Final Disposition + Closeout Reason",""),IF(AND($AM46="Sent",$AO46=""),"Gift marked Sent without recorded approval",""),IF($AX46="Duplicate","Duplicate active record for this address","")))</f>
        <v/>
      </c>
    </row>
    <row r="47">
      <c r="C47" s="2">
        <f>IF($B47="","",TRIM(LOWER(SUBSTITUTE(SUBSTITUTE(SUBSTITUTE(SUBSTITUTE(SUBSTITUTE($B47,",",""),".","")," apt "," "),"#","")," unit "," "))))</f>
        <v/>
      </c>
      <c r="AJ47" s="2">
        <f>IF($B47="","",IF(AND($AD47="",$BA47="",$I47=""),"",TODAY()-MAX($AD47,$BA47,$I47)))</f>
        <v/>
      </c>
      <c r="AK47" s="2">
        <f>IF($B47="","",IF($AG47="","",IF(TODAY()&gt;$AG47,TODAY()-$AG47,0)))</f>
        <v/>
      </c>
      <c r="AL47" s="2">
        <f>IF($B47="","",IF(OR($AQ47="Lost / Closed Out",$AQ47="Long-Term Nurture",$AQ47="Contract Signed"),"No",IF(MAX($AD47,$BA47,$I47)=0,"No",IF(NETWORKDAYS(MAX($AD47,$BA47,$I47),TODAY())-1&gt;=3,"Yes","No"))))</f>
        <v/>
      </c>
      <c r="AW47" s="2">
        <f>IF(OR($B47="",$AQ47="Lost / Closed Out"),"",_xlfn.TEXTJOIN(", ",TRUE,IF($B47="","Property Address",""),IF($AQ47="","Current Stage",""),IF($AF47="","Next Action",""),IF($AG47="","Next Action Due Date",""),IF($AH47="","Assigned Owner",""),IF($H47="","REI BlackBook Link","")))</f>
        <v/>
      </c>
      <c r="AX47" s="2">
        <f>IF($C47="","",IF(COUNTIFS($C$2:$C$1000,$C47,$AQ$2:$AQ$1000,"&lt;&gt;Lost / Closed Out")&gt;1,"Duplicate",""))</f>
        <v/>
      </c>
      <c r="AY47" s="2">
        <f>IF($B47="","",IF($AQ47="Verbal Agreement",100,IF($AQ47="Contract Sent",95,IF($AQ47="Active Negotiation",85,IF($AQ47="Offer Sent",70,IF($AQ47="Offer Preparation",60,IF($AQ47="Visit Completed — Needs Review",50,IF($AQ47="Visit Scheduled",30,IF($AQ47="Long-Term Nurture",10,IF($AQ47="Contract Signed",5,0)))))))))+IF($AK47="",0,MIN($AK47,20))+IF($AL47="Yes",5,0))</f>
        <v/>
      </c>
      <c r="BD47" s="2">
        <f>IF($B47="","",IF($BE47&lt;&gt;"","Exception",IF($AW47&lt;&gt;"","Incomplete","OK")))</f>
        <v/>
      </c>
      <c r="BE47" s="2">
        <f>IF($B47="","",_xlfn.TEXTJOIN(" | ",TRUE,IF(AND($K47="Completed",$M47=""),"Completed visit missing Visit Notes",""),IF(AND($K47="Completed",$S47=""),"Completed visit missing Seller Motivation (or add Exception note)",""),IF(AND($AQ47="Offer Sent",OR($X47="",$AA47="")),"Offer Sent needs Approved Offer Amount + Offer Sent Date",""),IF(AND($AQ47="Active Negotiation",OR($AE47="",$AF47="",$AH47="",$AG47="")),"Active Negotiation needs Last Contact Result + Next Action + Owner + Due Date",""),IF(AND($AQ47="Contract Sent",$AT47="",$R47=""),"Contract Sent needs Contract Sent Date or File Link",""),IF(AND($AQ47="Contract Signed",$AU47=""),"Contract Signed needs Contract Signed Date",""),IF(AND($AQ47="Long-Term Nurture",OR($AG47="",$AG47&lt;=TODAY())),"Long-Term Nurture needs an exact FUTURE follow-up date",""),IF(AND($AQ47="Lost / Closed Out",OR($AR47="",$AS47="")),"Lost / Closed Out needs Final Disposition + Closeout Reason",""),IF(AND($AM47="Sent",$AO47=""),"Gift marked Sent without recorded approval",""),IF($AX47="Duplicate","Duplicate active record for this address","")))</f>
        <v/>
      </c>
    </row>
    <row r="48">
      <c r="C48" s="2">
        <f>IF($B48="","",TRIM(LOWER(SUBSTITUTE(SUBSTITUTE(SUBSTITUTE(SUBSTITUTE(SUBSTITUTE($B48,",",""),".","")," apt "," "),"#","")," unit "," "))))</f>
        <v/>
      </c>
      <c r="AJ48" s="2">
        <f>IF($B48="","",IF(AND($AD48="",$BA48="",$I48=""),"",TODAY()-MAX($AD48,$BA48,$I48)))</f>
        <v/>
      </c>
      <c r="AK48" s="2">
        <f>IF($B48="","",IF($AG48="","",IF(TODAY()&gt;$AG48,TODAY()-$AG48,0)))</f>
        <v/>
      </c>
      <c r="AL48" s="2">
        <f>IF($B48="","",IF(OR($AQ48="Lost / Closed Out",$AQ48="Long-Term Nurture",$AQ48="Contract Signed"),"No",IF(MAX($AD48,$BA48,$I48)=0,"No",IF(NETWORKDAYS(MAX($AD48,$BA48,$I48),TODAY())-1&gt;=3,"Yes","No"))))</f>
        <v/>
      </c>
      <c r="AW48" s="2">
        <f>IF(OR($B48="",$AQ48="Lost / Closed Out"),"",_xlfn.TEXTJOIN(", ",TRUE,IF($B48="","Property Address",""),IF($AQ48="","Current Stage",""),IF($AF48="","Next Action",""),IF($AG48="","Next Action Due Date",""),IF($AH48="","Assigned Owner",""),IF($H48="","REI BlackBook Link","")))</f>
        <v/>
      </c>
      <c r="AX48" s="2">
        <f>IF($C48="","",IF(COUNTIFS($C$2:$C$1000,$C48,$AQ$2:$AQ$1000,"&lt;&gt;Lost / Closed Out")&gt;1,"Duplicate",""))</f>
        <v/>
      </c>
      <c r="AY48" s="2">
        <f>IF($B48="","",IF($AQ48="Verbal Agreement",100,IF($AQ48="Contract Sent",95,IF($AQ48="Active Negotiation",85,IF($AQ48="Offer Sent",70,IF($AQ48="Offer Preparation",60,IF($AQ48="Visit Completed — Needs Review",50,IF($AQ48="Visit Scheduled",30,IF($AQ48="Long-Term Nurture",10,IF($AQ48="Contract Signed",5,0)))))))))+IF($AK48="",0,MIN($AK48,20))+IF($AL48="Yes",5,0))</f>
        <v/>
      </c>
      <c r="BD48" s="2">
        <f>IF($B48="","",IF($BE48&lt;&gt;"","Exception",IF($AW48&lt;&gt;"","Incomplete","OK")))</f>
        <v/>
      </c>
      <c r="BE48" s="2">
        <f>IF($B48="","",_xlfn.TEXTJOIN(" | ",TRUE,IF(AND($K48="Completed",$M48=""),"Completed visit missing Visit Notes",""),IF(AND($K48="Completed",$S48=""),"Completed visit missing Seller Motivation (or add Exception note)",""),IF(AND($AQ48="Offer Sent",OR($X48="",$AA48="")),"Offer Sent needs Approved Offer Amount + Offer Sent Date",""),IF(AND($AQ48="Active Negotiation",OR($AE48="",$AF48="",$AH48="",$AG48="")),"Active Negotiation needs Last Contact Result + Next Action + Owner + Due Date",""),IF(AND($AQ48="Contract Sent",$AT48="",$R48=""),"Contract Sent needs Contract Sent Date or File Link",""),IF(AND($AQ48="Contract Signed",$AU48=""),"Contract Signed needs Contract Signed Date",""),IF(AND($AQ48="Long-Term Nurture",OR($AG48="",$AG48&lt;=TODAY())),"Long-Term Nurture needs an exact FUTURE follow-up date",""),IF(AND($AQ48="Lost / Closed Out",OR($AR48="",$AS48="")),"Lost / Closed Out needs Final Disposition + Closeout Reason",""),IF(AND($AM48="Sent",$AO48=""),"Gift marked Sent without recorded approval",""),IF($AX48="Duplicate","Duplicate active record for this address","")))</f>
        <v/>
      </c>
    </row>
    <row r="49">
      <c r="C49" s="2">
        <f>IF($B49="","",TRIM(LOWER(SUBSTITUTE(SUBSTITUTE(SUBSTITUTE(SUBSTITUTE(SUBSTITUTE($B49,",",""),".","")," apt "," "),"#","")," unit "," "))))</f>
        <v/>
      </c>
      <c r="AJ49" s="2">
        <f>IF($B49="","",IF(AND($AD49="",$BA49="",$I49=""),"",TODAY()-MAX($AD49,$BA49,$I49)))</f>
        <v/>
      </c>
      <c r="AK49" s="2">
        <f>IF($B49="","",IF($AG49="","",IF(TODAY()&gt;$AG49,TODAY()-$AG49,0)))</f>
        <v/>
      </c>
      <c r="AL49" s="2">
        <f>IF($B49="","",IF(OR($AQ49="Lost / Closed Out",$AQ49="Long-Term Nurture",$AQ49="Contract Signed"),"No",IF(MAX($AD49,$BA49,$I49)=0,"No",IF(NETWORKDAYS(MAX($AD49,$BA49,$I49),TODAY())-1&gt;=3,"Yes","No"))))</f>
        <v/>
      </c>
      <c r="AW49" s="2">
        <f>IF(OR($B49="",$AQ49="Lost / Closed Out"),"",_xlfn.TEXTJOIN(", ",TRUE,IF($B49="","Property Address",""),IF($AQ49="","Current Stage",""),IF($AF49="","Next Action",""),IF($AG49="","Next Action Due Date",""),IF($AH49="","Assigned Owner",""),IF($H49="","REI BlackBook Link","")))</f>
        <v/>
      </c>
      <c r="AX49" s="2">
        <f>IF($C49="","",IF(COUNTIFS($C$2:$C$1000,$C49,$AQ$2:$AQ$1000,"&lt;&gt;Lost / Closed Out")&gt;1,"Duplicate",""))</f>
        <v/>
      </c>
      <c r="AY49" s="2">
        <f>IF($B49="","",IF($AQ49="Verbal Agreement",100,IF($AQ49="Contract Sent",95,IF($AQ49="Active Negotiation",85,IF($AQ49="Offer Sent",70,IF($AQ49="Offer Preparation",60,IF($AQ49="Visit Completed — Needs Review",50,IF($AQ49="Visit Scheduled",30,IF($AQ49="Long-Term Nurture",10,IF($AQ49="Contract Signed",5,0)))))))))+IF($AK49="",0,MIN($AK49,20))+IF($AL49="Yes",5,0))</f>
        <v/>
      </c>
      <c r="BD49" s="2">
        <f>IF($B49="","",IF($BE49&lt;&gt;"","Exception",IF($AW49&lt;&gt;"","Incomplete","OK")))</f>
        <v/>
      </c>
      <c r="BE49" s="2">
        <f>IF($B49="","",_xlfn.TEXTJOIN(" | ",TRUE,IF(AND($K49="Completed",$M49=""),"Completed visit missing Visit Notes",""),IF(AND($K49="Completed",$S49=""),"Completed visit missing Seller Motivation (or add Exception note)",""),IF(AND($AQ49="Offer Sent",OR($X49="",$AA49="")),"Offer Sent needs Approved Offer Amount + Offer Sent Date",""),IF(AND($AQ49="Active Negotiation",OR($AE49="",$AF49="",$AH49="",$AG49="")),"Active Negotiation needs Last Contact Result + Next Action + Owner + Due Date",""),IF(AND($AQ49="Contract Sent",$AT49="",$R49=""),"Contract Sent needs Contract Sent Date or File Link",""),IF(AND($AQ49="Contract Signed",$AU49=""),"Contract Signed needs Contract Signed Date",""),IF(AND($AQ49="Long-Term Nurture",OR($AG49="",$AG49&lt;=TODAY())),"Long-Term Nurture needs an exact FUTURE follow-up date",""),IF(AND($AQ49="Lost / Closed Out",OR($AR49="",$AS49="")),"Lost / Closed Out needs Final Disposition + Closeout Reason",""),IF(AND($AM49="Sent",$AO49=""),"Gift marked Sent without recorded approval",""),IF($AX49="Duplicate","Duplicate active record for this address","")))</f>
        <v/>
      </c>
    </row>
    <row r="50">
      <c r="C50" s="2">
        <f>IF($B50="","",TRIM(LOWER(SUBSTITUTE(SUBSTITUTE(SUBSTITUTE(SUBSTITUTE(SUBSTITUTE($B50,",",""),".","")," apt "," "),"#","")," unit "," "))))</f>
        <v/>
      </c>
      <c r="AJ50" s="2">
        <f>IF($B50="","",IF(AND($AD50="",$BA50="",$I50=""),"",TODAY()-MAX($AD50,$BA50,$I50)))</f>
        <v/>
      </c>
      <c r="AK50" s="2">
        <f>IF($B50="","",IF($AG50="","",IF(TODAY()&gt;$AG50,TODAY()-$AG50,0)))</f>
        <v/>
      </c>
      <c r="AL50" s="2">
        <f>IF($B50="","",IF(OR($AQ50="Lost / Closed Out",$AQ50="Long-Term Nurture",$AQ50="Contract Signed"),"No",IF(MAX($AD50,$BA50,$I50)=0,"No",IF(NETWORKDAYS(MAX($AD50,$BA50,$I50),TODAY())-1&gt;=3,"Yes","No"))))</f>
        <v/>
      </c>
      <c r="AW50" s="2">
        <f>IF(OR($B50="",$AQ50="Lost / Closed Out"),"",_xlfn.TEXTJOIN(", ",TRUE,IF($B50="","Property Address",""),IF($AQ50="","Current Stage",""),IF($AF50="","Next Action",""),IF($AG50="","Next Action Due Date",""),IF($AH50="","Assigned Owner",""),IF($H50="","REI BlackBook Link","")))</f>
        <v/>
      </c>
      <c r="AX50" s="2">
        <f>IF($C50="","",IF(COUNTIFS($C$2:$C$1000,$C50,$AQ$2:$AQ$1000,"&lt;&gt;Lost / Closed Out")&gt;1,"Duplicate",""))</f>
        <v/>
      </c>
      <c r="AY50" s="2">
        <f>IF($B50="","",IF($AQ50="Verbal Agreement",100,IF($AQ50="Contract Sent",95,IF($AQ50="Active Negotiation",85,IF($AQ50="Offer Sent",70,IF($AQ50="Offer Preparation",60,IF($AQ50="Visit Completed — Needs Review",50,IF($AQ50="Visit Scheduled",30,IF($AQ50="Long-Term Nurture",10,IF($AQ50="Contract Signed",5,0)))))))))+IF($AK50="",0,MIN($AK50,20))+IF($AL50="Yes",5,0))</f>
        <v/>
      </c>
      <c r="BD50" s="2">
        <f>IF($B50="","",IF($BE50&lt;&gt;"","Exception",IF($AW50&lt;&gt;"","Incomplete","OK")))</f>
        <v/>
      </c>
      <c r="BE50" s="2">
        <f>IF($B50="","",_xlfn.TEXTJOIN(" | ",TRUE,IF(AND($K50="Completed",$M50=""),"Completed visit missing Visit Notes",""),IF(AND($K50="Completed",$S50=""),"Completed visit missing Seller Motivation (or add Exception note)",""),IF(AND($AQ50="Offer Sent",OR($X50="",$AA50="")),"Offer Sent needs Approved Offer Amount + Offer Sent Date",""),IF(AND($AQ50="Active Negotiation",OR($AE50="",$AF50="",$AH50="",$AG50="")),"Active Negotiation needs Last Contact Result + Next Action + Owner + Due Date",""),IF(AND($AQ50="Contract Sent",$AT50="",$R50=""),"Contract Sent needs Contract Sent Date or File Link",""),IF(AND($AQ50="Contract Signed",$AU50=""),"Contract Signed needs Contract Signed Date",""),IF(AND($AQ50="Long-Term Nurture",OR($AG50="",$AG50&lt;=TODAY())),"Long-Term Nurture needs an exact FUTURE follow-up date",""),IF(AND($AQ50="Lost / Closed Out",OR($AR50="",$AS50="")),"Lost / Closed Out needs Final Disposition + Closeout Reason",""),IF(AND($AM50="Sent",$AO50=""),"Gift marked Sent without recorded approval",""),IF($AX50="Duplicate","Duplicate active record for this address","")))</f>
        <v/>
      </c>
    </row>
    <row r="51">
      <c r="C51" s="2">
        <f>IF($B51="","",TRIM(LOWER(SUBSTITUTE(SUBSTITUTE(SUBSTITUTE(SUBSTITUTE(SUBSTITUTE($B51,",",""),".","")," apt "," "),"#","")," unit "," "))))</f>
        <v/>
      </c>
      <c r="AJ51" s="2">
        <f>IF($B51="","",IF(AND($AD51="",$BA51="",$I51=""),"",TODAY()-MAX($AD51,$BA51,$I51)))</f>
        <v/>
      </c>
      <c r="AK51" s="2">
        <f>IF($B51="","",IF($AG51="","",IF(TODAY()&gt;$AG51,TODAY()-$AG51,0)))</f>
        <v/>
      </c>
      <c r="AL51" s="2">
        <f>IF($B51="","",IF(OR($AQ51="Lost / Closed Out",$AQ51="Long-Term Nurture",$AQ51="Contract Signed"),"No",IF(MAX($AD51,$BA51,$I51)=0,"No",IF(NETWORKDAYS(MAX($AD51,$BA51,$I51),TODAY())-1&gt;=3,"Yes","No"))))</f>
        <v/>
      </c>
      <c r="AW51" s="2">
        <f>IF(OR($B51="",$AQ51="Lost / Closed Out"),"",_xlfn.TEXTJOIN(", ",TRUE,IF($B51="","Property Address",""),IF($AQ51="","Current Stage",""),IF($AF51="","Next Action",""),IF($AG51="","Next Action Due Date",""),IF($AH51="","Assigned Owner",""),IF($H51="","REI BlackBook Link","")))</f>
        <v/>
      </c>
      <c r="AX51" s="2">
        <f>IF($C51="","",IF(COUNTIFS($C$2:$C$1000,$C51,$AQ$2:$AQ$1000,"&lt;&gt;Lost / Closed Out")&gt;1,"Duplicate",""))</f>
        <v/>
      </c>
      <c r="AY51" s="2">
        <f>IF($B51="","",IF($AQ51="Verbal Agreement",100,IF($AQ51="Contract Sent",95,IF($AQ51="Active Negotiation",85,IF($AQ51="Offer Sent",70,IF($AQ51="Offer Preparation",60,IF($AQ51="Visit Completed — Needs Review",50,IF($AQ51="Visit Scheduled",30,IF($AQ51="Long-Term Nurture",10,IF($AQ51="Contract Signed",5,0)))))))))+IF($AK51="",0,MIN($AK51,20))+IF($AL51="Yes",5,0))</f>
        <v/>
      </c>
      <c r="BD51" s="2">
        <f>IF($B51="","",IF($BE51&lt;&gt;"","Exception",IF($AW51&lt;&gt;"","Incomplete","OK")))</f>
        <v/>
      </c>
      <c r="BE51" s="2">
        <f>IF($B51="","",_xlfn.TEXTJOIN(" | ",TRUE,IF(AND($K51="Completed",$M51=""),"Completed visit missing Visit Notes",""),IF(AND($K51="Completed",$S51=""),"Completed visit missing Seller Motivation (or add Exception note)",""),IF(AND($AQ51="Offer Sent",OR($X51="",$AA51="")),"Offer Sent needs Approved Offer Amount + Offer Sent Date",""),IF(AND($AQ51="Active Negotiation",OR($AE51="",$AF51="",$AH51="",$AG51="")),"Active Negotiation needs Last Contact Result + Next Action + Owner + Due Date",""),IF(AND($AQ51="Contract Sent",$AT51="",$R51=""),"Contract Sent needs Contract Sent Date or File Link",""),IF(AND($AQ51="Contract Signed",$AU51=""),"Contract Signed needs Contract Signed Date",""),IF(AND($AQ51="Long-Term Nurture",OR($AG51="",$AG51&lt;=TODAY())),"Long-Term Nurture needs an exact FUTURE follow-up date",""),IF(AND($AQ51="Lost / Closed Out",OR($AR51="",$AS51="")),"Lost / Closed Out needs Final Disposition + Closeout Reason",""),IF(AND($AM51="Sent",$AO51=""),"Gift marked Sent without recorded approval",""),IF($AX51="Duplicate","Duplicate active record for this address","")))</f>
        <v/>
      </c>
    </row>
    <row r="52">
      <c r="C52" s="2">
        <f>IF($B52="","",TRIM(LOWER(SUBSTITUTE(SUBSTITUTE(SUBSTITUTE(SUBSTITUTE(SUBSTITUTE($B52,",",""),".","")," apt "," "),"#","")," unit "," "))))</f>
        <v/>
      </c>
      <c r="AJ52" s="2">
        <f>IF($B52="","",IF(AND($AD52="",$BA52="",$I52=""),"",TODAY()-MAX($AD52,$BA52,$I52)))</f>
        <v/>
      </c>
      <c r="AK52" s="2">
        <f>IF($B52="","",IF($AG52="","",IF(TODAY()&gt;$AG52,TODAY()-$AG52,0)))</f>
        <v/>
      </c>
      <c r="AL52" s="2">
        <f>IF($B52="","",IF(OR($AQ52="Lost / Closed Out",$AQ52="Long-Term Nurture",$AQ52="Contract Signed"),"No",IF(MAX($AD52,$BA52,$I52)=0,"No",IF(NETWORKDAYS(MAX($AD52,$BA52,$I52),TODAY())-1&gt;=3,"Yes","No"))))</f>
        <v/>
      </c>
      <c r="AW52" s="2">
        <f>IF(OR($B52="",$AQ52="Lost / Closed Out"),"",_xlfn.TEXTJOIN(", ",TRUE,IF($B52="","Property Address",""),IF($AQ52="","Current Stage",""),IF($AF52="","Next Action",""),IF($AG52="","Next Action Due Date",""),IF($AH52="","Assigned Owner",""),IF($H52="","REI BlackBook Link","")))</f>
        <v/>
      </c>
      <c r="AX52" s="2">
        <f>IF($C52="","",IF(COUNTIFS($C$2:$C$1000,$C52,$AQ$2:$AQ$1000,"&lt;&gt;Lost / Closed Out")&gt;1,"Duplicate",""))</f>
        <v/>
      </c>
      <c r="AY52" s="2">
        <f>IF($B52="","",IF($AQ52="Verbal Agreement",100,IF($AQ52="Contract Sent",95,IF($AQ52="Active Negotiation",85,IF($AQ52="Offer Sent",70,IF($AQ52="Offer Preparation",60,IF($AQ52="Visit Completed — Needs Review",50,IF($AQ52="Visit Scheduled",30,IF($AQ52="Long-Term Nurture",10,IF($AQ52="Contract Signed",5,0)))))))))+IF($AK52="",0,MIN($AK52,20))+IF($AL52="Yes",5,0))</f>
        <v/>
      </c>
      <c r="BD52" s="2">
        <f>IF($B52="","",IF($BE52&lt;&gt;"","Exception",IF($AW52&lt;&gt;"","Incomplete","OK")))</f>
        <v/>
      </c>
      <c r="BE52" s="2">
        <f>IF($B52="","",_xlfn.TEXTJOIN(" | ",TRUE,IF(AND($K52="Completed",$M52=""),"Completed visit missing Visit Notes",""),IF(AND($K52="Completed",$S52=""),"Completed visit missing Seller Motivation (or add Exception note)",""),IF(AND($AQ52="Offer Sent",OR($X52="",$AA52="")),"Offer Sent needs Approved Offer Amount + Offer Sent Date",""),IF(AND($AQ52="Active Negotiation",OR($AE52="",$AF52="",$AH52="",$AG52="")),"Active Negotiation needs Last Contact Result + Next Action + Owner + Due Date",""),IF(AND($AQ52="Contract Sent",$AT52="",$R52=""),"Contract Sent needs Contract Sent Date or File Link",""),IF(AND($AQ52="Contract Signed",$AU52=""),"Contract Signed needs Contract Signed Date",""),IF(AND($AQ52="Long-Term Nurture",OR($AG52="",$AG52&lt;=TODAY())),"Long-Term Nurture needs an exact FUTURE follow-up date",""),IF(AND($AQ52="Lost / Closed Out",OR($AR52="",$AS52="")),"Lost / Closed Out needs Final Disposition + Closeout Reason",""),IF(AND($AM52="Sent",$AO52=""),"Gift marked Sent without recorded approval",""),IF($AX52="Duplicate","Duplicate active record for this address","")))</f>
        <v/>
      </c>
    </row>
    <row r="53">
      <c r="C53" s="2">
        <f>IF($B53="","",TRIM(LOWER(SUBSTITUTE(SUBSTITUTE(SUBSTITUTE(SUBSTITUTE(SUBSTITUTE($B53,",",""),".","")," apt "," "),"#","")," unit "," "))))</f>
        <v/>
      </c>
      <c r="AJ53" s="2">
        <f>IF($B53="","",IF(AND($AD53="",$BA53="",$I53=""),"",TODAY()-MAX($AD53,$BA53,$I53)))</f>
        <v/>
      </c>
      <c r="AK53" s="2">
        <f>IF($B53="","",IF($AG53="","",IF(TODAY()&gt;$AG53,TODAY()-$AG53,0)))</f>
        <v/>
      </c>
      <c r="AL53" s="2">
        <f>IF($B53="","",IF(OR($AQ53="Lost / Closed Out",$AQ53="Long-Term Nurture",$AQ53="Contract Signed"),"No",IF(MAX($AD53,$BA53,$I53)=0,"No",IF(NETWORKDAYS(MAX($AD53,$BA53,$I53),TODAY())-1&gt;=3,"Yes","No"))))</f>
        <v/>
      </c>
      <c r="AW53" s="2">
        <f>IF(OR($B53="",$AQ53="Lost / Closed Out"),"",_xlfn.TEXTJOIN(", ",TRUE,IF($B53="","Property Address",""),IF($AQ53="","Current Stage",""),IF($AF53="","Next Action",""),IF($AG53="","Next Action Due Date",""),IF($AH53="","Assigned Owner",""),IF($H53="","REI BlackBook Link","")))</f>
        <v/>
      </c>
      <c r="AX53" s="2">
        <f>IF($C53="","",IF(COUNTIFS($C$2:$C$1000,$C53,$AQ$2:$AQ$1000,"&lt;&gt;Lost / Closed Out")&gt;1,"Duplicate",""))</f>
        <v/>
      </c>
      <c r="AY53" s="2">
        <f>IF($B53="","",IF($AQ53="Verbal Agreement",100,IF($AQ53="Contract Sent",95,IF($AQ53="Active Negotiation",85,IF($AQ53="Offer Sent",70,IF($AQ53="Offer Preparation",60,IF($AQ53="Visit Completed — Needs Review",50,IF($AQ53="Visit Scheduled",30,IF($AQ53="Long-Term Nurture",10,IF($AQ53="Contract Signed",5,0)))))))))+IF($AK53="",0,MIN($AK53,20))+IF($AL53="Yes",5,0))</f>
        <v/>
      </c>
      <c r="BD53" s="2">
        <f>IF($B53="","",IF($BE53&lt;&gt;"","Exception",IF($AW53&lt;&gt;"","Incomplete","OK")))</f>
        <v/>
      </c>
      <c r="BE53" s="2">
        <f>IF($B53="","",_xlfn.TEXTJOIN(" | ",TRUE,IF(AND($K53="Completed",$M53=""),"Completed visit missing Visit Notes",""),IF(AND($K53="Completed",$S53=""),"Completed visit missing Seller Motivation (or add Exception note)",""),IF(AND($AQ53="Offer Sent",OR($X53="",$AA53="")),"Offer Sent needs Approved Offer Amount + Offer Sent Date",""),IF(AND($AQ53="Active Negotiation",OR($AE53="",$AF53="",$AH53="",$AG53="")),"Active Negotiation needs Last Contact Result + Next Action + Owner + Due Date",""),IF(AND($AQ53="Contract Sent",$AT53="",$R53=""),"Contract Sent needs Contract Sent Date or File Link",""),IF(AND($AQ53="Contract Signed",$AU53=""),"Contract Signed needs Contract Signed Date",""),IF(AND($AQ53="Long-Term Nurture",OR($AG53="",$AG53&lt;=TODAY())),"Long-Term Nurture needs an exact FUTURE follow-up date",""),IF(AND($AQ53="Lost / Closed Out",OR($AR53="",$AS53="")),"Lost / Closed Out needs Final Disposition + Closeout Reason",""),IF(AND($AM53="Sent",$AO53=""),"Gift marked Sent without recorded approval",""),IF($AX53="Duplicate","Duplicate active record for this address","")))</f>
        <v/>
      </c>
    </row>
    <row r="54">
      <c r="C54" s="2">
        <f>IF($B54="","",TRIM(LOWER(SUBSTITUTE(SUBSTITUTE(SUBSTITUTE(SUBSTITUTE(SUBSTITUTE($B54,",",""),".","")," apt "," "),"#","")," unit "," "))))</f>
        <v/>
      </c>
      <c r="AJ54" s="2">
        <f>IF($B54="","",IF(AND($AD54="",$BA54="",$I54=""),"",TODAY()-MAX($AD54,$BA54,$I54)))</f>
        <v/>
      </c>
      <c r="AK54" s="2">
        <f>IF($B54="","",IF($AG54="","",IF(TODAY()&gt;$AG54,TODAY()-$AG54,0)))</f>
        <v/>
      </c>
      <c r="AL54" s="2">
        <f>IF($B54="","",IF(OR($AQ54="Lost / Closed Out",$AQ54="Long-Term Nurture",$AQ54="Contract Signed"),"No",IF(MAX($AD54,$BA54,$I54)=0,"No",IF(NETWORKDAYS(MAX($AD54,$BA54,$I54),TODAY())-1&gt;=3,"Yes","No"))))</f>
        <v/>
      </c>
      <c r="AW54" s="2">
        <f>IF(OR($B54="",$AQ54="Lost / Closed Out"),"",_xlfn.TEXTJOIN(", ",TRUE,IF($B54="","Property Address",""),IF($AQ54="","Current Stage",""),IF($AF54="","Next Action",""),IF($AG54="","Next Action Due Date",""),IF($AH54="","Assigned Owner",""),IF($H54="","REI BlackBook Link","")))</f>
        <v/>
      </c>
      <c r="AX54" s="2">
        <f>IF($C54="","",IF(COUNTIFS($C$2:$C$1000,$C54,$AQ$2:$AQ$1000,"&lt;&gt;Lost / Closed Out")&gt;1,"Duplicate",""))</f>
        <v/>
      </c>
      <c r="AY54" s="2">
        <f>IF($B54="","",IF($AQ54="Verbal Agreement",100,IF($AQ54="Contract Sent",95,IF($AQ54="Active Negotiation",85,IF($AQ54="Offer Sent",70,IF($AQ54="Offer Preparation",60,IF($AQ54="Visit Completed — Needs Review",50,IF($AQ54="Visit Scheduled",30,IF($AQ54="Long-Term Nurture",10,IF($AQ54="Contract Signed",5,0)))))))))+IF($AK54="",0,MIN($AK54,20))+IF($AL54="Yes",5,0))</f>
        <v/>
      </c>
      <c r="BD54" s="2">
        <f>IF($B54="","",IF($BE54&lt;&gt;"","Exception",IF($AW54&lt;&gt;"","Incomplete","OK")))</f>
        <v/>
      </c>
      <c r="BE54" s="2">
        <f>IF($B54="","",_xlfn.TEXTJOIN(" | ",TRUE,IF(AND($K54="Completed",$M54=""),"Completed visit missing Visit Notes",""),IF(AND($K54="Completed",$S54=""),"Completed visit missing Seller Motivation (or add Exception note)",""),IF(AND($AQ54="Offer Sent",OR($X54="",$AA54="")),"Offer Sent needs Approved Offer Amount + Offer Sent Date",""),IF(AND($AQ54="Active Negotiation",OR($AE54="",$AF54="",$AH54="",$AG54="")),"Active Negotiation needs Last Contact Result + Next Action + Owner + Due Date",""),IF(AND($AQ54="Contract Sent",$AT54="",$R54=""),"Contract Sent needs Contract Sent Date or File Link",""),IF(AND($AQ54="Contract Signed",$AU54=""),"Contract Signed needs Contract Signed Date",""),IF(AND($AQ54="Long-Term Nurture",OR($AG54="",$AG54&lt;=TODAY())),"Long-Term Nurture needs an exact FUTURE follow-up date",""),IF(AND($AQ54="Lost / Closed Out",OR($AR54="",$AS54="")),"Lost / Closed Out needs Final Disposition + Closeout Reason",""),IF(AND($AM54="Sent",$AO54=""),"Gift marked Sent without recorded approval",""),IF($AX54="Duplicate","Duplicate active record for this address","")))</f>
        <v/>
      </c>
    </row>
    <row r="55">
      <c r="C55" s="2">
        <f>IF($B55="","",TRIM(LOWER(SUBSTITUTE(SUBSTITUTE(SUBSTITUTE(SUBSTITUTE(SUBSTITUTE($B55,",",""),".","")," apt "," "),"#","")," unit "," "))))</f>
        <v/>
      </c>
      <c r="AJ55" s="2">
        <f>IF($B55="","",IF(AND($AD55="",$BA55="",$I55=""),"",TODAY()-MAX($AD55,$BA55,$I55)))</f>
        <v/>
      </c>
      <c r="AK55" s="2">
        <f>IF($B55="","",IF($AG55="","",IF(TODAY()&gt;$AG55,TODAY()-$AG55,0)))</f>
        <v/>
      </c>
      <c r="AL55" s="2">
        <f>IF($B55="","",IF(OR($AQ55="Lost / Closed Out",$AQ55="Long-Term Nurture",$AQ55="Contract Signed"),"No",IF(MAX($AD55,$BA55,$I55)=0,"No",IF(NETWORKDAYS(MAX($AD55,$BA55,$I55),TODAY())-1&gt;=3,"Yes","No"))))</f>
        <v/>
      </c>
      <c r="AW55" s="2">
        <f>IF(OR($B55="",$AQ55="Lost / Closed Out"),"",_xlfn.TEXTJOIN(", ",TRUE,IF($B55="","Property Address",""),IF($AQ55="","Current Stage",""),IF($AF55="","Next Action",""),IF($AG55="","Next Action Due Date",""),IF($AH55="","Assigned Owner",""),IF($H55="","REI BlackBook Link","")))</f>
        <v/>
      </c>
      <c r="AX55" s="2">
        <f>IF($C55="","",IF(COUNTIFS($C$2:$C$1000,$C55,$AQ$2:$AQ$1000,"&lt;&gt;Lost / Closed Out")&gt;1,"Duplicate",""))</f>
        <v/>
      </c>
      <c r="AY55" s="2">
        <f>IF($B55="","",IF($AQ55="Verbal Agreement",100,IF($AQ55="Contract Sent",95,IF($AQ55="Active Negotiation",85,IF($AQ55="Offer Sent",70,IF($AQ55="Offer Preparation",60,IF($AQ55="Visit Completed — Needs Review",50,IF($AQ55="Visit Scheduled",30,IF($AQ55="Long-Term Nurture",10,IF($AQ55="Contract Signed",5,0)))))))))+IF($AK55="",0,MIN($AK55,20))+IF($AL55="Yes",5,0))</f>
        <v/>
      </c>
      <c r="BD55" s="2">
        <f>IF($B55="","",IF($BE55&lt;&gt;"","Exception",IF($AW55&lt;&gt;"","Incomplete","OK")))</f>
        <v/>
      </c>
      <c r="BE55" s="2">
        <f>IF($B55="","",_xlfn.TEXTJOIN(" | ",TRUE,IF(AND($K55="Completed",$M55=""),"Completed visit missing Visit Notes",""),IF(AND($K55="Completed",$S55=""),"Completed visit missing Seller Motivation (or add Exception note)",""),IF(AND($AQ55="Offer Sent",OR($X55="",$AA55="")),"Offer Sent needs Approved Offer Amount + Offer Sent Date",""),IF(AND($AQ55="Active Negotiation",OR($AE55="",$AF55="",$AH55="",$AG55="")),"Active Negotiation needs Last Contact Result + Next Action + Owner + Due Date",""),IF(AND($AQ55="Contract Sent",$AT55="",$R55=""),"Contract Sent needs Contract Sent Date or File Link",""),IF(AND($AQ55="Contract Signed",$AU55=""),"Contract Signed needs Contract Signed Date",""),IF(AND($AQ55="Long-Term Nurture",OR($AG55="",$AG55&lt;=TODAY())),"Long-Term Nurture needs an exact FUTURE follow-up date",""),IF(AND($AQ55="Lost / Closed Out",OR($AR55="",$AS55="")),"Lost / Closed Out needs Final Disposition + Closeout Reason",""),IF(AND($AM55="Sent",$AO55=""),"Gift marked Sent without recorded approval",""),IF($AX55="Duplicate","Duplicate active record for this address","")))</f>
        <v/>
      </c>
    </row>
    <row r="56">
      <c r="C56" s="2">
        <f>IF($B56="","",TRIM(LOWER(SUBSTITUTE(SUBSTITUTE(SUBSTITUTE(SUBSTITUTE(SUBSTITUTE($B56,",",""),".","")," apt "," "),"#","")," unit "," "))))</f>
        <v/>
      </c>
      <c r="AJ56" s="2">
        <f>IF($B56="","",IF(AND($AD56="",$BA56="",$I56=""),"",TODAY()-MAX($AD56,$BA56,$I56)))</f>
        <v/>
      </c>
      <c r="AK56" s="2">
        <f>IF($B56="","",IF($AG56="","",IF(TODAY()&gt;$AG56,TODAY()-$AG56,0)))</f>
        <v/>
      </c>
      <c r="AL56" s="2">
        <f>IF($B56="","",IF(OR($AQ56="Lost / Closed Out",$AQ56="Long-Term Nurture",$AQ56="Contract Signed"),"No",IF(MAX($AD56,$BA56,$I56)=0,"No",IF(NETWORKDAYS(MAX($AD56,$BA56,$I56),TODAY())-1&gt;=3,"Yes","No"))))</f>
        <v/>
      </c>
      <c r="AW56" s="2">
        <f>IF(OR($B56="",$AQ56="Lost / Closed Out"),"",_xlfn.TEXTJOIN(", ",TRUE,IF($B56="","Property Address",""),IF($AQ56="","Current Stage",""),IF($AF56="","Next Action",""),IF($AG56="","Next Action Due Date",""),IF($AH56="","Assigned Owner",""),IF($H56="","REI BlackBook Link","")))</f>
        <v/>
      </c>
      <c r="AX56" s="2">
        <f>IF($C56="","",IF(COUNTIFS($C$2:$C$1000,$C56,$AQ$2:$AQ$1000,"&lt;&gt;Lost / Closed Out")&gt;1,"Duplicate",""))</f>
        <v/>
      </c>
      <c r="AY56" s="2">
        <f>IF($B56="","",IF($AQ56="Verbal Agreement",100,IF($AQ56="Contract Sent",95,IF($AQ56="Active Negotiation",85,IF($AQ56="Offer Sent",70,IF($AQ56="Offer Preparation",60,IF($AQ56="Visit Completed — Needs Review",50,IF($AQ56="Visit Scheduled",30,IF($AQ56="Long-Term Nurture",10,IF($AQ56="Contract Signed",5,0)))))))))+IF($AK56="",0,MIN($AK56,20))+IF($AL56="Yes",5,0))</f>
        <v/>
      </c>
      <c r="BD56" s="2">
        <f>IF($B56="","",IF($BE56&lt;&gt;"","Exception",IF($AW56&lt;&gt;"","Incomplete","OK")))</f>
        <v/>
      </c>
      <c r="BE56" s="2">
        <f>IF($B56="","",_xlfn.TEXTJOIN(" | ",TRUE,IF(AND($K56="Completed",$M56=""),"Completed visit missing Visit Notes",""),IF(AND($K56="Completed",$S56=""),"Completed visit missing Seller Motivation (or add Exception note)",""),IF(AND($AQ56="Offer Sent",OR($X56="",$AA56="")),"Offer Sent needs Approved Offer Amount + Offer Sent Date",""),IF(AND($AQ56="Active Negotiation",OR($AE56="",$AF56="",$AH56="",$AG56="")),"Active Negotiation needs Last Contact Result + Next Action + Owner + Due Date",""),IF(AND($AQ56="Contract Sent",$AT56="",$R56=""),"Contract Sent needs Contract Sent Date or File Link",""),IF(AND($AQ56="Contract Signed",$AU56=""),"Contract Signed needs Contract Signed Date",""),IF(AND($AQ56="Long-Term Nurture",OR($AG56="",$AG56&lt;=TODAY())),"Long-Term Nurture needs an exact FUTURE follow-up date",""),IF(AND($AQ56="Lost / Closed Out",OR($AR56="",$AS56="")),"Lost / Closed Out needs Final Disposition + Closeout Reason",""),IF(AND($AM56="Sent",$AO56=""),"Gift marked Sent without recorded approval",""),IF($AX56="Duplicate","Duplicate active record for this address","")))</f>
        <v/>
      </c>
    </row>
    <row r="57">
      <c r="C57" s="2">
        <f>IF($B57="","",TRIM(LOWER(SUBSTITUTE(SUBSTITUTE(SUBSTITUTE(SUBSTITUTE(SUBSTITUTE($B57,",",""),".","")," apt "," "),"#","")," unit "," "))))</f>
        <v/>
      </c>
      <c r="AJ57" s="2">
        <f>IF($B57="","",IF(AND($AD57="",$BA57="",$I57=""),"",TODAY()-MAX($AD57,$BA57,$I57)))</f>
        <v/>
      </c>
      <c r="AK57" s="2">
        <f>IF($B57="","",IF($AG57="","",IF(TODAY()&gt;$AG57,TODAY()-$AG57,0)))</f>
        <v/>
      </c>
      <c r="AL57" s="2">
        <f>IF($B57="","",IF(OR($AQ57="Lost / Closed Out",$AQ57="Long-Term Nurture",$AQ57="Contract Signed"),"No",IF(MAX($AD57,$BA57,$I57)=0,"No",IF(NETWORKDAYS(MAX($AD57,$BA57,$I57),TODAY())-1&gt;=3,"Yes","No"))))</f>
        <v/>
      </c>
      <c r="AW57" s="2">
        <f>IF(OR($B57="",$AQ57="Lost / Closed Out"),"",_xlfn.TEXTJOIN(", ",TRUE,IF($B57="","Property Address",""),IF($AQ57="","Current Stage",""),IF($AF57="","Next Action",""),IF($AG57="","Next Action Due Date",""),IF($AH57="","Assigned Owner",""),IF($H57="","REI BlackBook Link","")))</f>
        <v/>
      </c>
      <c r="AX57" s="2">
        <f>IF($C57="","",IF(COUNTIFS($C$2:$C$1000,$C57,$AQ$2:$AQ$1000,"&lt;&gt;Lost / Closed Out")&gt;1,"Duplicate",""))</f>
        <v/>
      </c>
      <c r="AY57" s="2">
        <f>IF($B57="","",IF($AQ57="Verbal Agreement",100,IF($AQ57="Contract Sent",95,IF($AQ57="Active Negotiation",85,IF($AQ57="Offer Sent",70,IF($AQ57="Offer Preparation",60,IF($AQ57="Visit Completed — Needs Review",50,IF($AQ57="Visit Scheduled",30,IF($AQ57="Long-Term Nurture",10,IF($AQ57="Contract Signed",5,0)))))))))+IF($AK57="",0,MIN($AK57,20))+IF($AL57="Yes",5,0))</f>
        <v/>
      </c>
      <c r="BD57" s="2">
        <f>IF($B57="","",IF($BE57&lt;&gt;"","Exception",IF($AW57&lt;&gt;"","Incomplete","OK")))</f>
        <v/>
      </c>
      <c r="BE57" s="2">
        <f>IF($B57="","",_xlfn.TEXTJOIN(" | ",TRUE,IF(AND($K57="Completed",$M57=""),"Completed visit missing Visit Notes",""),IF(AND($K57="Completed",$S57=""),"Completed visit missing Seller Motivation (or add Exception note)",""),IF(AND($AQ57="Offer Sent",OR($X57="",$AA57="")),"Offer Sent needs Approved Offer Amount + Offer Sent Date",""),IF(AND($AQ57="Active Negotiation",OR($AE57="",$AF57="",$AH57="",$AG57="")),"Active Negotiation needs Last Contact Result + Next Action + Owner + Due Date",""),IF(AND($AQ57="Contract Sent",$AT57="",$R57=""),"Contract Sent needs Contract Sent Date or File Link",""),IF(AND($AQ57="Contract Signed",$AU57=""),"Contract Signed needs Contract Signed Date",""),IF(AND($AQ57="Long-Term Nurture",OR($AG57="",$AG57&lt;=TODAY())),"Long-Term Nurture needs an exact FUTURE follow-up date",""),IF(AND($AQ57="Lost / Closed Out",OR($AR57="",$AS57="")),"Lost / Closed Out needs Final Disposition + Closeout Reason",""),IF(AND($AM57="Sent",$AO57=""),"Gift marked Sent without recorded approval",""),IF($AX57="Duplicate","Duplicate active record for this address","")))</f>
        <v/>
      </c>
    </row>
    <row r="58">
      <c r="C58" s="2">
        <f>IF($B58="","",TRIM(LOWER(SUBSTITUTE(SUBSTITUTE(SUBSTITUTE(SUBSTITUTE(SUBSTITUTE($B58,",",""),".","")," apt "," "),"#","")," unit "," "))))</f>
        <v/>
      </c>
      <c r="AJ58" s="2">
        <f>IF($B58="","",IF(AND($AD58="",$BA58="",$I58=""),"",TODAY()-MAX($AD58,$BA58,$I58)))</f>
        <v/>
      </c>
      <c r="AK58" s="2">
        <f>IF($B58="","",IF($AG58="","",IF(TODAY()&gt;$AG58,TODAY()-$AG58,0)))</f>
        <v/>
      </c>
      <c r="AL58" s="2">
        <f>IF($B58="","",IF(OR($AQ58="Lost / Closed Out",$AQ58="Long-Term Nurture",$AQ58="Contract Signed"),"No",IF(MAX($AD58,$BA58,$I58)=0,"No",IF(NETWORKDAYS(MAX($AD58,$BA58,$I58),TODAY())-1&gt;=3,"Yes","No"))))</f>
        <v/>
      </c>
      <c r="AW58" s="2">
        <f>IF(OR($B58="",$AQ58="Lost / Closed Out"),"",_xlfn.TEXTJOIN(", ",TRUE,IF($B58="","Property Address",""),IF($AQ58="","Current Stage",""),IF($AF58="","Next Action",""),IF($AG58="","Next Action Due Date",""),IF($AH58="","Assigned Owner",""),IF($H58="","REI BlackBook Link","")))</f>
        <v/>
      </c>
      <c r="AX58" s="2">
        <f>IF($C58="","",IF(COUNTIFS($C$2:$C$1000,$C58,$AQ$2:$AQ$1000,"&lt;&gt;Lost / Closed Out")&gt;1,"Duplicate",""))</f>
        <v/>
      </c>
      <c r="AY58" s="2">
        <f>IF($B58="","",IF($AQ58="Verbal Agreement",100,IF($AQ58="Contract Sent",95,IF($AQ58="Active Negotiation",85,IF($AQ58="Offer Sent",70,IF($AQ58="Offer Preparation",60,IF($AQ58="Visit Completed — Needs Review",50,IF($AQ58="Visit Scheduled",30,IF($AQ58="Long-Term Nurture",10,IF($AQ58="Contract Signed",5,0)))))))))+IF($AK58="",0,MIN($AK58,20))+IF($AL58="Yes",5,0))</f>
        <v/>
      </c>
      <c r="BD58" s="2">
        <f>IF($B58="","",IF($BE58&lt;&gt;"","Exception",IF($AW58&lt;&gt;"","Incomplete","OK")))</f>
        <v/>
      </c>
      <c r="BE58" s="2">
        <f>IF($B58="","",_xlfn.TEXTJOIN(" | ",TRUE,IF(AND($K58="Completed",$M58=""),"Completed visit missing Visit Notes",""),IF(AND($K58="Completed",$S58=""),"Completed visit missing Seller Motivation (or add Exception note)",""),IF(AND($AQ58="Offer Sent",OR($X58="",$AA58="")),"Offer Sent needs Approved Offer Amount + Offer Sent Date",""),IF(AND($AQ58="Active Negotiation",OR($AE58="",$AF58="",$AH58="",$AG58="")),"Active Negotiation needs Last Contact Result + Next Action + Owner + Due Date",""),IF(AND($AQ58="Contract Sent",$AT58="",$R58=""),"Contract Sent needs Contract Sent Date or File Link",""),IF(AND($AQ58="Contract Signed",$AU58=""),"Contract Signed needs Contract Signed Date",""),IF(AND($AQ58="Long-Term Nurture",OR($AG58="",$AG58&lt;=TODAY())),"Long-Term Nurture needs an exact FUTURE follow-up date",""),IF(AND($AQ58="Lost / Closed Out",OR($AR58="",$AS58="")),"Lost / Closed Out needs Final Disposition + Closeout Reason",""),IF(AND($AM58="Sent",$AO58=""),"Gift marked Sent without recorded approval",""),IF($AX58="Duplicate","Duplicate active record for this address","")))</f>
        <v/>
      </c>
    </row>
    <row r="59">
      <c r="C59" s="2">
        <f>IF($B59="","",TRIM(LOWER(SUBSTITUTE(SUBSTITUTE(SUBSTITUTE(SUBSTITUTE(SUBSTITUTE($B59,",",""),".","")," apt "," "),"#","")," unit "," "))))</f>
        <v/>
      </c>
      <c r="AJ59" s="2">
        <f>IF($B59="","",IF(AND($AD59="",$BA59="",$I59=""),"",TODAY()-MAX($AD59,$BA59,$I59)))</f>
        <v/>
      </c>
      <c r="AK59" s="2">
        <f>IF($B59="","",IF($AG59="","",IF(TODAY()&gt;$AG59,TODAY()-$AG59,0)))</f>
        <v/>
      </c>
      <c r="AL59" s="2">
        <f>IF($B59="","",IF(OR($AQ59="Lost / Closed Out",$AQ59="Long-Term Nurture",$AQ59="Contract Signed"),"No",IF(MAX($AD59,$BA59,$I59)=0,"No",IF(NETWORKDAYS(MAX($AD59,$BA59,$I59),TODAY())-1&gt;=3,"Yes","No"))))</f>
        <v/>
      </c>
      <c r="AW59" s="2">
        <f>IF(OR($B59="",$AQ59="Lost / Closed Out"),"",_xlfn.TEXTJOIN(", ",TRUE,IF($B59="","Property Address",""),IF($AQ59="","Current Stage",""),IF($AF59="","Next Action",""),IF($AG59="","Next Action Due Date",""),IF($AH59="","Assigned Owner",""),IF($H59="","REI BlackBook Link","")))</f>
        <v/>
      </c>
      <c r="AX59" s="2">
        <f>IF($C59="","",IF(COUNTIFS($C$2:$C$1000,$C59,$AQ$2:$AQ$1000,"&lt;&gt;Lost / Closed Out")&gt;1,"Duplicate",""))</f>
        <v/>
      </c>
      <c r="AY59" s="2">
        <f>IF($B59="","",IF($AQ59="Verbal Agreement",100,IF($AQ59="Contract Sent",95,IF($AQ59="Active Negotiation",85,IF($AQ59="Offer Sent",70,IF($AQ59="Offer Preparation",60,IF($AQ59="Visit Completed — Needs Review",50,IF($AQ59="Visit Scheduled",30,IF($AQ59="Long-Term Nurture",10,IF($AQ59="Contract Signed",5,0)))))))))+IF($AK59="",0,MIN($AK59,20))+IF($AL59="Yes",5,0))</f>
        <v/>
      </c>
      <c r="BD59" s="2">
        <f>IF($B59="","",IF($BE59&lt;&gt;"","Exception",IF($AW59&lt;&gt;"","Incomplete","OK")))</f>
        <v/>
      </c>
      <c r="BE59" s="2">
        <f>IF($B59="","",_xlfn.TEXTJOIN(" | ",TRUE,IF(AND($K59="Completed",$M59=""),"Completed visit missing Visit Notes",""),IF(AND($K59="Completed",$S59=""),"Completed visit missing Seller Motivation (or add Exception note)",""),IF(AND($AQ59="Offer Sent",OR($X59="",$AA59="")),"Offer Sent needs Approved Offer Amount + Offer Sent Date",""),IF(AND($AQ59="Active Negotiation",OR($AE59="",$AF59="",$AH59="",$AG59="")),"Active Negotiation needs Last Contact Result + Next Action + Owner + Due Date",""),IF(AND($AQ59="Contract Sent",$AT59="",$R59=""),"Contract Sent needs Contract Sent Date or File Link",""),IF(AND($AQ59="Contract Signed",$AU59=""),"Contract Signed needs Contract Signed Date",""),IF(AND($AQ59="Long-Term Nurture",OR($AG59="",$AG59&lt;=TODAY())),"Long-Term Nurture needs an exact FUTURE follow-up date",""),IF(AND($AQ59="Lost / Closed Out",OR($AR59="",$AS59="")),"Lost / Closed Out needs Final Disposition + Closeout Reason",""),IF(AND($AM59="Sent",$AO59=""),"Gift marked Sent without recorded approval",""),IF($AX59="Duplicate","Duplicate active record for this address","")))</f>
        <v/>
      </c>
    </row>
    <row r="60">
      <c r="C60" s="2">
        <f>IF($B60="","",TRIM(LOWER(SUBSTITUTE(SUBSTITUTE(SUBSTITUTE(SUBSTITUTE(SUBSTITUTE($B60,",",""),".","")," apt "," "),"#","")," unit "," "))))</f>
        <v/>
      </c>
      <c r="AJ60" s="2">
        <f>IF($B60="","",IF(AND($AD60="",$BA60="",$I60=""),"",TODAY()-MAX($AD60,$BA60,$I60)))</f>
        <v/>
      </c>
      <c r="AK60" s="2">
        <f>IF($B60="","",IF($AG60="","",IF(TODAY()&gt;$AG60,TODAY()-$AG60,0)))</f>
        <v/>
      </c>
      <c r="AL60" s="2">
        <f>IF($B60="","",IF(OR($AQ60="Lost / Closed Out",$AQ60="Long-Term Nurture",$AQ60="Contract Signed"),"No",IF(MAX($AD60,$BA60,$I60)=0,"No",IF(NETWORKDAYS(MAX($AD60,$BA60,$I60),TODAY())-1&gt;=3,"Yes","No"))))</f>
        <v/>
      </c>
      <c r="AW60" s="2">
        <f>IF(OR($B60="",$AQ60="Lost / Closed Out"),"",_xlfn.TEXTJOIN(", ",TRUE,IF($B60="","Property Address",""),IF($AQ60="","Current Stage",""),IF($AF60="","Next Action",""),IF($AG60="","Next Action Due Date",""),IF($AH60="","Assigned Owner",""),IF($H60="","REI BlackBook Link","")))</f>
        <v/>
      </c>
      <c r="AX60" s="2">
        <f>IF($C60="","",IF(COUNTIFS($C$2:$C$1000,$C60,$AQ$2:$AQ$1000,"&lt;&gt;Lost / Closed Out")&gt;1,"Duplicate",""))</f>
        <v/>
      </c>
      <c r="AY60" s="2">
        <f>IF($B60="","",IF($AQ60="Verbal Agreement",100,IF($AQ60="Contract Sent",95,IF($AQ60="Active Negotiation",85,IF($AQ60="Offer Sent",70,IF($AQ60="Offer Preparation",60,IF($AQ60="Visit Completed — Needs Review",50,IF($AQ60="Visit Scheduled",30,IF($AQ60="Long-Term Nurture",10,IF($AQ60="Contract Signed",5,0)))))))))+IF($AK60="",0,MIN($AK60,20))+IF($AL60="Yes",5,0))</f>
        <v/>
      </c>
      <c r="BD60" s="2">
        <f>IF($B60="","",IF($BE60&lt;&gt;"","Exception",IF($AW60&lt;&gt;"","Incomplete","OK")))</f>
        <v/>
      </c>
      <c r="BE60" s="2">
        <f>IF($B60="","",_xlfn.TEXTJOIN(" | ",TRUE,IF(AND($K60="Completed",$M60=""),"Completed visit missing Visit Notes",""),IF(AND($K60="Completed",$S60=""),"Completed visit missing Seller Motivation (or add Exception note)",""),IF(AND($AQ60="Offer Sent",OR($X60="",$AA60="")),"Offer Sent needs Approved Offer Amount + Offer Sent Date",""),IF(AND($AQ60="Active Negotiation",OR($AE60="",$AF60="",$AH60="",$AG60="")),"Active Negotiation needs Last Contact Result + Next Action + Owner + Due Date",""),IF(AND($AQ60="Contract Sent",$AT60="",$R60=""),"Contract Sent needs Contract Sent Date or File Link",""),IF(AND($AQ60="Contract Signed",$AU60=""),"Contract Signed needs Contract Signed Date",""),IF(AND($AQ60="Long-Term Nurture",OR($AG60="",$AG60&lt;=TODAY())),"Long-Term Nurture needs an exact FUTURE follow-up date",""),IF(AND($AQ60="Lost / Closed Out",OR($AR60="",$AS60="")),"Lost / Closed Out needs Final Disposition + Closeout Reason",""),IF(AND($AM60="Sent",$AO60=""),"Gift marked Sent without recorded approval",""),IF($AX60="Duplicate","Duplicate active record for this address","")))</f>
        <v/>
      </c>
    </row>
  </sheetData>
  <conditionalFormatting sqref="A2:BG60">
    <cfRule type="expression" priority="1" dxfId="0" stopIfTrue="0">
      <formula>$BD2="Exception"</formula>
    </cfRule>
    <cfRule type="expression" priority="2" dxfId="1" stopIfTrue="0">
      <formula>AND($AK2&lt;&gt;"",$AK2&gt;0)</formula>
    </cfRule>
    <cfRule type="expression" priority="3" dxfId="2" stopIfTrue="0">
      <formula>$AL2="Yes"</formula>
    </cfRule>
    <cfRule type="expression" priority="4" dxfId="3" stopIfTrue="0">
      <formula>$BD2="Incomplete"</formula>
    </cfRule>
    <cfRule type="expression" priority="5" dxfId="4" stopIfTrue="0">
      <formula>$AQ2="Contract Signed"</formula>
    </cfRule>
  </conditionalFormatting>
  <dataValidations count="19">
    <dataValidation sqref="G2:G1000" showDropDown="0" showInputMessage="0" showErrorMessage="0" allowBlank="1" error="Pick a value from the list." prompt="Allowed: Direct Mail,Direct Mail - Postcard,PPC,TV,Facebook,SEO,PPL - Property Leads,PPL - Motivated Leads" type="list">
      <formula1>"Direct Mail,Direct Mail - Postcard,PPC,TV,Facebook,SEO,PPL - Property Leads,PPL - Motivated Leads"</formula1>
    </dataValidation>
    <dataValidation sqref="K2:K1000" showDropDown="0" showInputMessage="0" showErrorMessage="0" allowBlank="1" error="Pick a value from the list." prompt="Allowed: Scheduled,Completed,Canceled,Reschedule Needed" type="list">
      <formula1>"Scheduled,Completed,Canceled,Reschedule Needed"</formula1>
    </dataValidation>
    <dataValidation sqref="L2:L1000" showDropDown="0" showInputMessage="0" showErrorMessage="0" allowBlank="1" error="Pick a value from the list." prompt="Allowed: Juan,Kyle,Cherry,Jonathan,JM,Cesar,Jose Herrera,Manny Morales,Lily,Alan Hernandez" type="list">
      <formula1>"Juan,Kyle,Cherry,Jonathan,JM,Cesar,Jose Herrera,Manny Morales,Lily,Alan Hernandez"</formula1>
    </dataValidation>
    <dataValidation sqref="N2:N1000" showDropDown="0" showInputMessage="0" showErrorMessage="0" allowBlank="1" error="Pick a value from the list." prompt="Allowed: Excellent,Good,Fair,Poor,Distressed" type="list">
      <formula1>"Excellent,Good,Fair,Poor,Distressed"</formula1>
    </dataValidation>
    <dataValidation sqref="O2:O1000" showDropDown="0" showInputMessage="0" showErrorMessage="0" allowBlank="1" error="Pick a value from the list." prompt="Allowed: Owner-Occupied,Tenant-Occupied,Vacant,Unknown" type="list">
      <formula1>"Owner-Occupied,Tenant-Occupied,Vacant,Unknown"</formula1>
    </dataValidation>
    <dataValidation sqref="T2:T1000" showDropDown="0" showInputMessage="0" showErrorMessage="0" allowBlank="1" error="Pick a value from the list." prompt="Allowed: ASAP,30 days,60 days,90+ days,Unknown" type="list">
      <formula1>"ASAP,30 days,60 days,90+ days,Unknown"</formula1>
    </dataValidation>
    <dataValidation sqref="Y2:Y1000" showDropDown="0" showInputMessage="0" showErrorMessage="0" allowBlank="1" error="Pick a value from the list." prompt="Allowed: Not Started,In Preparation,Sent,Countered,Accepted,Rejected,Withdrawn" type="list">
      <formula1>"Not Started,In Preparation,Sent,Countered,Accepted,Rejected,Withdrawn"</formula1>
    </dataValidation>
    <dataValidation sqref="AB2:AB1000" showDropDown="0" showInputMessage="0" showErrorMessage="0" allowBlank="1" error="Pick a value from the list." prompt="Allowed: Yes,No" type="list">
      <formula1>"Yes,No"</formula1>
    </dataValidation>
    <dataValidation sqref="AH2:AH1000" showDropDown="0" showInputMessage="0" showErrorMessage="0" allowBlank="1" error="Pick a value from the list." prompt="Allowed: Jonathan,Kyle,Cherry,Juan,JM" type="list">
      <formula1>"Jonathan,Kyle,Cherry,Juan,JM"</formula1>
    </dataValidation>
    <dataValidation sqref="AI2:AI1000" showDropDown="0" showInputMessage="0" showErrorMessage="0" allowBlank="1" error="Pick a value from the list." prompt="Allowed: Price,Title,Tenant,Family,Access,Timing,Documents,Property Condition,Seller Unresponsive,Other" type="list">
      <formula1>"Price,Title,Tenant,Family,Access,Timing,Documents,Property Condition,Seller Unresponsive,Other"</formula1>
    </dataValidation>
    <dataValidation sqref="AM2:AM1000" showDropDown="0" showInputMessage="0" showErrorMessage="0" allowBlank="1" error="Pick a value from the list." prompt="Allowed: Not Reviewed,Recommended,Approved,Sent,Not Appropriate" type="list">
      <formula1>"Not Reviewed,Recommended,Approved,Sent,Not Appropriate"</formula1>
    </dataValidation>
    <dataValidation sqref="AO2:AO1000" showDropDown="0" showInputMessage="0" showErrorMessage="0" allowBlank="1" error="Pick a value from the list." prompt="Allowed: Cherry,Juan" type="list">
      <formula1>"Cherry,Juan"</formula1>
    </dataValidation>
    <dataValidation sqref="AQ2:AQ1000" showDropDown="0" showInputMessage="0" showErrorMessage="0" allowBlank="1" error="Pick a value from the list." prompt="Allowed: Visit Scheduled,Visit Completed — Needs Review,Offer Preparation,Offer Sent,Active Negotiation,Verbal Agreement,Contract Sent,Contract Signed,Long-Term Nurture,Lost / Closed Out" type="list">
      <formula1>"Visit Scheduled,Visit Completed — Needs Review,Offer Preparation,Offer Sent,Active Negotiation,Verbal Agreement,Contract Sent,Contract Signed,Long-Term Nurture,Lost / Closed Out"</formula1>
    </dataValidation>
    <dataValidation sqref="AR2:AR1000" showDropDown="0" showInputMessage="0" showErrorMessage="0" allowBlank="1" error="Pick a value from the list." prompt="Allowed: Contracted,Lost,Long-Term Nurture,Closed Out" type="list">
      <formula1>"Contracted,Lost,Long-Term Nurture,Closed Out"</formula1>
    </dataValidation>
    <dataValidation sqref="AV2:AV1000" showDropDown="0" showInputMessage="0" showErrorMessage="0" allowBlank="1" error="Pick a value from the list." prompt="Allowed: Not Ready,Ready for Handoff,Handed Off to JM,JM Confirmed" type="list">
      <formula1>"Not Ready,Ready for Handoff,Handed Off to JM,JM Confirmed"</formula1>
    </dataValidation>
    <dataValidation sqref="BB2:BB1000" showDropDown="0" showInputMessage="0" showErrorMessage="0" allowBlank="1" error="Pick a value from the list." prompt="Allowed: Jonathan,Kyle,Cherry,Juan,JM,Apps Script,Import" type="list">
      <formula1>"Jonathan,Kyle,Cherry,Juan,JM,Apps Script,Import"</formula1>
    </dataValidation>
    <dataValidation sqref="BC2:BC1000" showDropDown="0" showInputMessage="0" showErrorMessage="0" allowBlank="1" error="Pick a value from the list." prompt="Allowed: Manual,Apps Script,Import,TEST" type="list">
      <formula1>"Manual,Apps Script,Import,TEST"</formula1>
    </dataValidation>
    <dataValidation sqref="BF2:BF1000" showDropDown="0" showInputMessage="0" showErrorMessage="0" allowBlank="1" error="Pick a value from the list." prompt="Allowed: Yes,No" type="list">
      <formula1>"Yes,No"</formula1>
    </dataValidation>
    <dataValidation sqref="BG2:BG1000" showDropDown="0" showInputMessage="0" showErrorMessage="0" allowBlank="1" error="Pick a value from the list." prompt="Allowed: Yes,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</cols>
  <sheetData>
    <row r="1">
      <c r="A1" s="22" t="inlineStr">
        <is>
          <t>Visit Status</t>
        </is>
      </c>
      <c r="B1" s="22" t="inlineStr">
        <is>
          <t>Current Stage</t>
        </is>
      </c>
      <c r="C1" s="22" t="inlineStr">
        <is>
          <t>Assigned Owner</t>
        </is>
      </c>
      <c r="D1" s="22" t="inlineStr">
        <is>
          <t>Assigned Visitor</t>
        </is>
      </c>
      <c r="E1" s="22" t="inlineStr">
        <is>
          <t>Gift Approval Owner</t>
        </is>
      </c>
      <c r="F1" s="22" t="inlineStr">
        <is>
          <t>Updated By</t>
        </is>
      </c>
      <c r="G1" s="22" t="inlineStr">
        <is>
          <t>Final Disposition</t>
        </is>
      </c>
      <c r="H1" s="22" t="inlineStr">
        <is>
          <t>Gift Status</t>
        </is>
      </c>
      <c r="I1" s="22" t="inlineStr">
        <is>
          <t>Blocker</t>
        </is>
      </c>
      <c r="J1" s="22" t="inlineStr">
        <is>
          <t>Lead Source</t>
        </is>
      </c>
      <c r="K1" s="22" t="inlineStr">
        <is>
          <t>Offer Status</t>
        </is>
      </c>
      <c r="L1" s="22" t="inlineStr">
        <is>
          <t>Occupancy Status</t>
        </is>
      </c>
      <c r="M1" s="22" t="inlineStr">
        <is>
          <t>Property Condition</t>
        </is>
      </c>
      <c r="N1" s="22" t="inlineStr">
        <is>
          <t>Seller Timeline</t>
        </is>
      </c>
      <c r="O1" s="22" t="inlineStr">
        <is>
          <t>Offer Received Confirmation</t>
        </is>
      </c>
      <c r="P1" s="22" t="inlineStr">
        <is>
          <t>Transaction Handoff Status</t>
        </is>
      </c>
      <c r="Q1" s="22" t="inlineStr">
        <is>
          <t>REI Update Required</t>
        </is>
      </c>
      <c r="R1" s="22" t="inlineStr">
        <is>
          <t>REI Update Completed</t>
        </is>
      </c>
      <c r="S1" s="22" t="inlineStr">
        <is>
          <t>Source</t>
        </is>
      </c>
      <c r="T1" s="22" t="inlineStr">
        <is>
          <t>Data Quality Status</t>
        </is>
      </c>
      <c r="U1" s="22" t="inlineStr">
        <is>
          <t>Stalled Status</t>
        </is>
      </c>
    </row>
    <row r="2">
      <c r="A2" s="2" t="inlineStr">
        <is>
          <t>Scheduled</t>
        </is>
      </c>
      <c r="B2" s="2" t="inlineStr">
        <is>
          <t>Visit Scheduled</t>
        </is>
      </c>
      <c r="C2" s="2" t="inlineStr">
        <is>
          <t>Jonathan</t>
        </is>
      </c>
      <c r="D2" s="2" t="inlineStr">
        <is>
          <t>Juan</t>
        </is>
      </c>
      <c r="E2" s="2" t="inlineStr">
        <is>
          <t>Cherry</t>
        </is>
      </c>
      <c r="F2" s="2" t="inlineStr">
        <is>
          <t>Jonathan</t>
        </is>
      </c>
      <c r="G2" s="2" t="inlineStr">
        <is>
          <t>Contracted</t>
        </is>
      </c>
      <c r="H2" s="2" t="inlineStr">
        <is>
          <t>Not Reviewed</t>
        </is>
      </c>
      <c r="I2" s="2" t="inlineStr">
        <is>
          <t>Price</t>
        </is>
      </c>
      <c r="J2" s="2" t="inlineStr">
        <is>
          <t>Direct Mail</t>
        </is>
      </c>
      <c r="K2" s="2" t="inlineStr">
        <is>
          <t>Not Started</t>
        </is>
      </c>
      <c r="L2" s="2" t="inlineStr">
        <is>
          <t>Owner-Occupied</t>
        </is>
      </c>
      <c r="M2" s="2" t="inlineStr">
        <is>
          <t>Excellent</t>
        </is>
      </c>
      <c r="N2" s="2" t="inlineStr">
        <is>
          <t>ASAP</t>
        </is>
      </c>
      <c r="O2" s="2" t="inlineStr">
        <is>
          <t>Yes</t>
        </is>
      </c>
      <c r="P2" s="2" t="inlineStr">
        <is>
          <t>Not Ready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Manual</t>
        </is>
      </c>
      <c r="T2" s="2" t="inlineStr">
        <is>
          <t>OK</t>
        </is>
      </c>
      <c r="U2" s="2" t="inlineStr">
        <is>
          <t>Yes</t>
        </is>
      </c>
    </row>
    <row r="3">
      <c r="A3" s="2" t="inlineStr">
        <is>
          <t>Completed</t>
        </is>
      </c>
      <c r="B3" s="2" t="inlineStr">
        <is>
          <t>Visit Completed — Needs Review</t>
        </is>
      </c>
      <c r="C3" s="2" t="inlineStr">
        <is>
          <t>Kyle</t>
        </is>
      </c>
      <c r="D3" s="2" t="inlineStr">
        <is>
          <t>Kyle</t>
        </is>
      </c>
      <c r="E3" s="2" t="inlineStr">
        <is>
          <t>Juan</t>
        </is>
      </c>
      <c r="F3" s="2" t="inlineStr">
        <is>
          <t>Kyle</t>
        </is>
      </c>
      <c r="G3" s="2" t="inlineStr">
        <is>
          <t>Lost</t>
        </is>
      </c>
      <c r="H3" s="2" t="inlineStr">
        <is>
          <t>Recommended</t>
        </is>
      </c>
      <c r="I3" s="2" t="inlineStr">
        <is>
          <t>Title</t>
        </is>
      </c>
      <c r="J3" s="2" t="inlineStr">
        <is>
          <t>Direct Mail - Postcard</t>
        </is>
      </c>
      <c r="K3" s="2" t="inlineStr">
        <is>
          <t>In Preparation</t>
        </is>
      </c>
      <c r="L3" s="2" t="inlineStr">
        <is>
          <t>Tenant-Occupied</t>
        </is>
      </c>
      <c r="M3" s="2" t="inlineStr">
        <is>
          <t>Good</t>
        </is>
      </c>
      <c r="N3" s="2" t="inlineStr">
        <is>
          <t>30 days</t>
        </is>
      </c>
      <c r="O3" s="2" t="inlineStr">
        <is>
          <t>No</t>
        </is>
      </c>
      <c r="P3" s="2" t="inlineStr">
        <is>
          <t>Ready for Handoff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Apps Script</t>
        </is>
      </c>
      <c r="T3" s="2" t="inlineStr">
        <is>
          <t>Incomplete</t>
        </is>
      </c>
      <c r="U3" s="2" t="inlineStr">
        <is>
          <t>No</t>
        </is>
      </c>
    </row>
    <row r="4">
      <c r="A4" s="2" t="inlineStr">
        <is>
          <t>Canceled</t>
        </is>
      </c>
      <c r="B4" s="2" t="inlineStr">
        <is>
          <t>Offer Preparation</t>
        </is>
      </c>
      <c r="C4" s="2" t="inlineStr">
        <is>
          <t>Cherry</t>
        </is>
      </c>
      <c r="D4" s="2" t="inlineStr">
        <is>
          <t>Cherry</t>
        </is>
      </c>
      <c r="F4" s="2" t="inlineStr">
        <is>
          <t>Cherry</t>
        </is>
      </c>
      <c r="G4" s="2" t="inlineStr">
        <is>
          <t>Long-Term Nurture</t>
        </is>
      </c>
      <c r="H4" s="2" t="inlineStr">
        <is>
          <t>Approved</t>
        </is>
      </c>
      <c r="I4" s="2" t="inlineStr">
        <is>
          <t>Tenant</t>
        </is>
      </c>
      <c r="J4" s="2" t="inlineStr">
        <is>
          <t>PPC</t>
        </is>
      </c>
      <c r="K4" s="2" t="inlineStr">
        <is>
          <t>Sent</t>
        </is>
      </c>
      <c r="L4" s="2" t="inlineStr">
        <is>
          <t>Vacant</t>
        </is>
      </c>
      <c r="M4" s="2" t="inlineStr">
        <is>
          <t>Fair</t>
        </is>
      </c>
      <c r="N4" s="2" t="inlineStr">
        <is>
          <t>60 days</t>
        </is>
      </c>
      <c r="P4" s="2" t="inlineStr">
        <is>
          <t>Handed Off to JM</t>
        </is>
      </c>
      <c r="S4" s="2" t="inlineStr">
        <is>
          <t>Import</t>
        </is>
      </c>
      <c r="T4" s="2" t="inlineStr">
        <is>
          <t>Exception</t>
        </is>
      </c>
    </row>
    <row r="5">
      <c r="A5" s="2" t="inlineStr">
        <is>
          <t>Reschedule Needed</t>
        </is>
      </c>
      <c r="B5" s="2" t="inlineStr">
        <is>
          <t>Offer Sent</t>
        </is>
      </c>
      <c r="C5" s="2" t="inlineStr">
        <is>
          <t>Juan</t>
        </is>
      </c>
      <c r="D5" s="2" t="inlineStr">
        <is>
          <t>Jonathan</t>
        </is>
      </c>
      <c r="F5" s="2" t="inlineStr">
        <is>
          <t>Juan</t>
        </is>
      </c>
      <c r="G5" s="2" t="inlineStr">
        <is>
          <t>Closed Out</t>
        </is>
      </c>
      <c r="H5" s="2" t="inlineStr">
        <is>
          <t>Sent</t>
        </is>
      </c>
      <c r="I5" s="2" t="inlineStr">
        <is>
          <t>Family</t>
        </is>
      </c>
      <c r="J5" s="2" t="inlineStr">
        <is>
          <t>TV</t>
        </is>
      </c>
      <c r="K5" s="2" t="inlineStr">
        <is>
          <t>Countered</t>
        </is>
      </c>
      <c r="L5" s="2" t="inlineStr">
        <is>
          <t>Unknown</t>
        </is>
      </c>
      <c r="M5" s="2" t="inlineStr">
        <is>
          <t>Poor</t>
        </is>
      </c>
      <c r="N5" s="2" t="inlineStr">
        <is>
          <t>90+ days</t>
        </is>
      </c>
      <c r="P5" s="2" t="inlineStr">
        <is>
          <t>JM Confirmed</t>
        </is>
      </c>
      <c r="S5" s="2" t="inlineStr">
        <is>
          <t>TEST</t>
        </is>
      </c>
    </row>
    <row r="6">
      <c r="B6" s="2" t="inlineStr">
        <is>
          <t>Active Negotiation</t>
        </is>
      </c>
      <c r="C6" s="2" t="inlineStr">
        <is>
          <t>JM</t>
        </is>
      </c>
      <c r="D6" s="2" t="inlineStr">
        <is>
          <t>JM</t>
        </is>
      </c>
      <c r="F6" s="2" t="inlineStr">
        <is>
          <t>JM</t>
        </is>
      </c>
      <c r="H6" s="2" t="inlineStr">
        <is>
          <t>Not Appropriate</t>
        </is>
      </c>
      <c r="I6" s="2" t="inlineStr">
        <is>
          <t>Access</t>
        </is>
      </c>
      <c r="J6" s="2" t="inlineStr">
        <is>
          <t>Facebook</t>
        </is>
      </c>
      <c r="K6" s="2" t="inlineStr">
        <is>
          <t>Accepted</t>
        </is>
      </c>
      <c r="M6" s="2" t="inlineStr">
        <is>
          <t>Distressed</t>
        </is>
      </c>
      <c r="N6" s="2" t="inlineStr">
        <is>
          <t>Unknown</t>
        </is>
      </c>
    </row>
    <row r="7">
      <c r="B7" s="2" t="inlineStr">
        <is>
          <t>Verbal Agreement</t>
        </is>
      </c>
      <c r="D7" s="2" t="inlineStr">
        <is>
          <t>Cesar</t>
        </is>
      </c>
      <c r="F7" s="2" t="inlineStr">
        <is>
          <t>Apps Script</t>
        </is>
      </c>
      <c r="I7" s="2" t="inlineStr">
        <is>
          <t>Timing</t>
        </is>
      </c>
      <c r="J7" s="2" t="inlineStr">
        <is>
          <t>SEO</t>
        </is>
      </c>
      <c r="K7" s="2" t="inlineStr">
        <is>
          <t>Rejected</t>
        </is>
      </c>
    </row>
    <row r="8">
      <c r="B8" s="2" t="inlineStr">
        <is>
          <t>Contract Sent</t>
        </is>
      </c>
      <c r="D8" s="2" t="inlineStr">
        <is>
          <t>Jose Herrera</t>
        </is>
      </c>
      <c r="F8" s="2" t="inlineStr">
        <is>
          <t>Import</t>
        </is>
      </c>
      <c r="I8" s="2" t="inlineStr">
        <is>
          <t>Documents</t>
        </is>
      </c>
      <c r="J8" s="2" t="inlineStr">
        <is>
          <t>PPL - Property Leads</t>
        </is>
      </c>
      <c r="K8" s="2" t="inlineStr">
        <is>
          <t>Withdrawn</t>
        </is>
      </c>
    </row>
    <row r="9">
      <c r="B9" s="2" t="inlineStr">
        <is>
          <t>Contract Signed</t>
        </is>
      </c>
      <c r="D9" s="2" t="inlineStr">
        <is>
          <t>Manny Morales</t>
        </is>
      </c>
      <c r="I9" s="2" t="inlineStr">
        <is>
          <t>Property Condition</t>
        </is>
      </c>
      <c r="J9" s="2" t="inlineStr">
        <is>
          <t>PPL - Motivated Leads</t>
        </is>
      </c>
    </row>
    <row r="10">
      <c r="B10" s="2" t="inlineStr">
        <is>
          <t>Long-Term Nurture</t>
        </is>
      </c>
      <c r="D10" s="2" t="inlineStr">
        <is>
          <t>Lily</t>
        </is>
      </c>
      <c r="I10" s="2" t="inlineStr">
        <is>
          <t>Seller Unresponsive</t>
        </is>
      </c>
    </row>
    <row r="11">
      <c r="B11" s="2" t="inlineStr">
        <is>
          <t>Lost / Closed Out</t>
        </is>
      </c>
      <c r="D11" s="2" t="inlineStr">
        <is>
          <t>Alan Hernandez</t>
        </is>
      </c>
      <c r="I11" s="2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</cols>
  <sheetData>
    <row r="1">
      <c r="A1" s="23" t="inlineStr">
        <is>
          <t>Exception Queue — records that are Incomplete, fail a cross-field rule, or duplicate</t>
        </is>
      </c>
    </row>
    <row r="3">
      <c r="A3" s="24" t="inlineStr">
        <is>
          <t>Property ID</t>
        </is>
      </c>
      <c r="B3" s="24" t="inlineStr">
        <is>
          <t>Property Address</t>
        </is>
      </c>
      <c r="C3" s="24" t="inlineStr">
        <is>
          <t>Seller Name</t>
        </is>
      </c>
      <c r="D3" s="24" t="inlineStr">
        <is>
          <t>Current Stage</t>
        </is>
      </c>
      <c r="E3" s="24" t="inlineStr">
        <is>
          <t>Assigned Owner</t>
        </is>
      </c>
      <c r="F3" s="24" t="inlineStr">
        <is>
          <t>Data Quality Status</t>
        </is>
      </c>
      <c r="G3" s="24" t="inlineStr">
        <is>
          <t>Missing Required Fields</t>
        </is>
      </c>
      <c r="H3" s="24" t="inlineStr">
        <is>
          <t>Exception Reason</t>
        </is>
      </c>
    </row>
    <row r="4">
      <c r="A4" s="6" t="inlineStr">
        <is>
          <t>In the live Google Sheet this list is generated by a QUERY over Data (Data Quality Status = Incomplete or Exception). See Data-Dictionary.md.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34" customWidth="1" min="4" max="4"/>
  </cols>
  <sheetData>
    <row r="1">
      <c r="A1" s="25" t="inlineStr">
        <is>
          <t>Legacy field</t>
        </is>
      </c>
      <c r="B1" s="25" t="inlineStr">
        <is>
          <t>New field(s)</t>
        </is>
      </c>
      <c r="C1" s="25" t="inlineStr">
        <is>
          <t>Mapping rule</t>
        </is>
      </c>
      <c r="D1" s="25" t="inlineStr">
        <is>
          <t>Confidence / notes</t>
        </is>
      </c>
    </row>
    <row r="2">
      <c r="A2" s="26" t="inlineStr">
        <is>
          <t>Address</t>
        </is>
      </c>
      <c r="B2" s="26" t="inlineStr">
        <is>
          <t>Property Address (+ Normalized Address)</t>
        </is>
      </c>
      <c r="C2" s="26" t="inlineStr">
        <is>
          <t>Copied verbatim; Normalized Address computed</t>
        </is>
      </c>
      <c r="D2" s="26" t="inlineStr">
        <is>
          <t>High</t>
        </is>
      </c>
    </row>
    <row r="3">
      <c r="A3" s="26" t="inlineStr">
        <is>
          <t>Name</t>
        </is>
      </c>
      <c r="B3" s="26" t="inlineStr">
        <is>
          <t>Seller Name</t>
        </is>
      </c>
      <c r="C3" s="26" t="inlineStr">
        <is>
          <t>Copied verbatim</t>
        </is>
      </c>
      <c r="D3" s="26" t="inlineStr">
        <is>
          <t>High</t>
        </is>
      </c>
    </row>
    <row r="4">
      <c r="A4" s="26" t="inlineStr">
        <is>
          <t>Phone</t>
        </is>
      </c>
      <c r="B4" s="26" t="inlineStr">
        <is>
          <t>Phone</t>
        </is>
      </c>
      <c r="C4" s="26" t="inlineStr">
        <is>
          <t>Copied verbatim</t>
        </is>
      </c>
      <c r="D4" s="26" t="inlineStr">
        <is>
          <t>High</t>
        </is>
      </c>
    </row>
    <row r="5">
      <c r="A5" s="26" t="inlineStr">
        <is>
          <t>Lead Source</t>
        </is>
      </c>
      <c r="B5" s="26" t="inlineStr">
        <is>
          <t>Lead Source</t>
        </is>
      </c>
      <c r="C5" s="26" t="inlineStr">
        <is>
          <t>Values already match new dropdown</t>
        </is>
      </c>
      <c r="D5" s="26" t="inlineStr">
        <is>
          <t>High</t>
        </is>
      </c>
    </row>
    <row r="6">
      <c r="A6" s="26" t="inlineStr">
        <is>
          <t>Appointment date / col A</t>
        </is>
      </c>
      <c r="B6" s="26" t="inlineStr">
        <is>
          <t>Visit Date</t>
        </is>
      </c>
      <c r="C6" s="26" t="inlineStr">
        <is>
          <t>Copied</t>
        </is>
      </c>
      <c r="D6" s="26" t="inlineStr">
        <is>
          <t>High</t>
        </is>
      </c>
    </row>
    <row r="7">
      <c r="A7" s="26" t="inlineStr">
        <is>
          <t>Inspection Status</t>
        </is>
      </c>
      <c r="B7" s="26" t="inlineStr">
        <is>
          <t>Visit Status</t>
        </is>
      </c>
      <c r="C7" s="26" t="inlineStr">
        <is>
          <t>Inspected→Completed; Pending Inspection→Scheduled; Cancelled→Canceled; 'Skipped - offer made'→Completed</t>
        </is>
      </c>
      <c r="D7" s="26" t="inlineStr">
        <is>
          <t>High</t>
        </is>
      </c>
    </row>
    <row r="8">
      <c r="A8" s="26" t="inlineStr">
        <is>
          <t>Inspector</t>
        </is>
      </c>
      <c r="B8" s="26" t="inlineStr">
        <is>
          <t>Assigned Visitor</t>
        </is>
      </c>
      <c r="C8" s="26" t="inlineStr">
        <is>
          <t>Juan Diaz→Juan; Cesar→Cesar (kept); others kept as-is in visitor list</t>
        </is>
      </c>
      <c r="D8" s="26" t="inlineStr">
        <is>
          <t>Medium</t>
        </is>
      </c>
    </row>
    <row r="9">
      <c r="A9" s="26" t="inlineStr">
        <is>
          <t>Closer / Agent</t>
        </is>
      </c>
      <c r="B9" s="26" t="inlineStr">
        <is>
          <t>Assigned Owner</t>
        </is>
      </c>
      <c r="C9" s="26" t="inlineStr">
        <is>
          <t>Cherry→Cherry; Juan Diaz→Juan; blank/other→left blank → Incomplete → Exception Queue</t>
        </is>
      </c>
      <c r="D9" s="26" t="inlineStr">
        <is>
          <t>Low where blank</t>
        </is>
      </c>
    </row>
    <row r="10">
      <c r="A10" s="26" t="inlineStr">
        <is>
          <t>Deal Stage + Deal Status</t>
        </is>
      </c>
      <c r="B10" s="26" t="inlineStr">
        <is>
          <t>Current Stage (+ Final Disposition)</t>
        </is>
      </c>
      <c r="C10" s="26" t="inlineStr">
        <is>
          <t>See stage-mapping table in Data-Dictionary.md</t>
        </is>
      </c>
      <c r="D10" s="26" t="inlineStr">
        <is>
          <t>Medium — uncertain rows sent to Exception Queue</t>
        </is>
      </c>
    </row>
    <row r="11">
      <c r="A11" s="26" t="inlineStr">
        <is>
          <t>Status Update (prose)</t>
        </is>
      </c>
      <c r="B11" s="26" t="inlineStr">
        <is>
          <t>Last Contact Result / Next Action / Visit Notes</t>
        </is>
      </c>
      <c r="C11" s="26" t="inlineStr">
        <is>
          <t>Clear 'next step' text mapped to Next Action; full text preserved in Visit Notes; ambiguous → Exception</t>
        </is>
      </c>
      <c r="D11" s="26" t="inlineStr">
        <is>
          <t>Low — not guessed</t>
        </is>
      </c>
    </row>
    <row r="12">
      <c r="A12" s="26" t="inlineStr">
        <is>
          <t>Notes</t>
        </is>
      </c>
      <c r="B12" s="26" t="inlineStr">
        <is>
          <t>Visit Notes / Seller Motivation</t>
        </is>
      </c>
      <c r="C12" s="26" t="inlineStr">
        <is>
          <t>Notes→Visit Notes; motivation only where explicit</t>
        </is>
      </c>
      <c r="D12" s="26" t="inlineStr">
        <is>
          <t>Medium</t>
        </is>
      </c>
    </row>
    <row r="13">
      <c r="A13" s="26" t="inlineStr">
        <is>
          <t>Golden Needle (unused, all FALSE)</t>
        </is>
      </c>
      <c r="B13" s="26" t="inlineStr">
        <is>
          <t>(dropped)</t>
        </is>
      </c>
      <c r="C13" s="26" t="inlineStr">
        <is>
          <t>Audit flagged as unused; not migrated</t>
        </is>
      </c>
      <c r="D13" s="26" t="inlineStr">
        <is>
          <t>n/a</t>
        </is>
      </c>
    </row>
    <row r="14">
      <c r="A14" s="26" t="inlineStr">
        <is>
          <t>Contract (dropdown)</t>
        </is>
      </c>
      <c r="B14" s="26" t="inlineStr">
        <is>
          <t>Final Disposition / Transaction Handoff Status</t>
        </is>
      </c>
      <c r="C14" s="26" t="inlineStr">
        <is>
          <t>Under Contract→(context); Acquired→Contracted; Cancelled Contract→Lost</t>
        </is>
      </c>
      <c r="D14" s="2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2026-07-22T17:57:48Z</dcterms:created>
  <dcterms:modified xsi:type="dcterms:W3CDTF">2026-07-22T17:57:48Z</dcterms:modified>
</cp:coreProperties>
</file>